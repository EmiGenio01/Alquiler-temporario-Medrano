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per\OneDrive\Documentos\Departamento Medrano 828\Formularios de consulta\"/>
    </mc:Choice>
  </mc:AlternateContent>
  <xr:revisionPtr revIDLastSave="0" documentId="13_ncr:1_{40C4D753-2B59-4D2F-BBED-03980B00DE18}" xr6:coauthVersionLast="47" xr6:coauthVersionMax="47" xr10:uidLastSave="{00000000-0000-0000-0000-000000000000}"/>
  <bookViews>
    <workbookView xWindow="-108" yWindow="-108" windowWidth="23256" windowHeight="13176" xr2:uid="{AE2FFC7D-2B80-476B-81C3-09FB275063D9}"/>
  </bookViews>
  <sheets>
    <sheet name="Reservas" sheetId="6" r:id="rId1"/>
    <sheet name="2022" sheetId="1" r:id="rId2"/>
    <sheet name="2023" sheetId="2" r:id="rId3"/>
    <sheet name="2024" sheetId="3" r:id="rId4"/>
    <sheet name="Auxiliares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2" i="3" l="1"/>
  <c r="H72" i="3"/>
  <c r="H68" i="3"/>
  <c r="H64" i="3"/>
  <c r="H60" i="3"/>
  <c r="H56" i="3"/>
  <c r="H52" i="3"/>
  <c r="I45" i="3"/>
  <c r="H45" i="3"/>
  <c r="H41" i="3"/>
  <c r="H37" i="3"/>
  <c r="H33" i="3"/>
  <c r="H29" i="3"/>
  <c r="I22" i="3"/>
  <c r="H22" i="3"/>
  <c r="H18" i="3"/>
  <c r="H14" i="3"/>
  <c r="H10" i="3"/>
  <c r="H6" i="3"/>
  <c r="K7" i="6"/>
  <c r="L7" i="6" s="1"/>
  <c r="K15" i="6"/>
  <c r="M15" i="6" s="1"/>
  <c r="K23" i="6"/>
  <c r="L23" i="6" s="1"/>
  <c r="K31" i="6"/>
  <c r="M31" i="6" s="1"/>
  <c r="K39" i="6"/>
  <c r="M39" i="6" s="1"/>
  <c r="K47" i="6"/>
  <c r="L47" i="6" s="1"/>
  <c r="J51" i="6"/>
  <c r="K51" i="6" s="1"/>
  <c r="J4" i="6"/>
  <c r="K4" i="6" s="1"/>
  <c r="J5" i="6"/>
  <c r="K5" i="6" s="1"/>
  <c r="J6" i="6"/>
  <c r="K6" i="6" s="1"/>
  <c r="J7" i="6"/>
  <c r="J8" i="6"/>
  <c r="K8" i="6" s="1"/>
  <c r="J9" i="6"/>
  <c r="K9" i="6" s="1"/>
  <c r="J10" i="6"/>
  <c r="K10" i="6" s="1"/>
  <c r="J11" i="6"/>
  <c r="K11" i="6" s="1"/>
  <c r="J12" i="6"/>
  <c r="K12" i="6" s="1"/>
  <c r="J13" i="6"/>
  <c r="K13" i="6" s="1"/>
  <c r="J14" i="6"/>
  <c r="K14" i="6" s="1"/>
  <c r="J15" i="6"/>
  <c r="J16" i="6"/>
  <c r="K16" i="6" s="1"/>
  <c r="J17" i="6"/>
  <c r="K17" i="6" s="1"/>
  <c r="J18" i="6"/>
  <c r="K18" i="6" s="1"/>
  <c r="J19" i="6"/>
  <c r="K19" i="6" s="1"/>
  <c r="J20" i="6"/>
  <c r="K20" i="6" s="1"/>
  <c r="J21" i="6"/>
  <c r="K21" i="6" s="1"/>
  <c r="J22" i="6"/>
  <c r="K22" i="6" s="1"/>
  <c r="J23" i="6"/>
  <c r="J24" i="6"/>
  <c r="K24" i="6" s="1"/>
  <c r="J25" i="6"/>
  <c r="K25" i="6" s="1"/>
  <c r="J26" i="6"/>
  <c r="K26" i="6" s="1"/>
  <c r="J27" i="6"/>
  <c r="K27" i="6" s="1"/>
  <c r="J28" i="6"/>
  <c r="K28" i="6" s="1"/>
  <c r="J29" i="6"/>
  <c r="K29" i="6" s="1"/>
  <c r="J30" i="6"/>
  <c r="K30" i="6" s="1"/>
  <c r="J31" i="6"/>
  <c r="J32" i="6"/>
  <c r="K32" i="6" s="1"/>
  <c r="J33" i="6"/>
  <c r="K33" i="6" s="1"/>
  <c r="J34" i="6"/>
  <c r="K34" i="6" s="1"/>
  <c r="J35" i="6"/>
  <c r="K35" i="6" s="1"/>
  <c r="J36" i="6"/>
  <c r="K36" i="6" s="1"/>
  <c r="J37" i="6"/>
  <c r="K37" i="6" s="1"/>
  <c r="J38" i="6"/>
  <c r="K38" i="6" s="1"/>
  <c r="J39" i="6"/>
  <c r="J40" i="6"/>
  <c r="K40" i="6" s="1"/>
  <c r="J41" i="6"/>
  <c r="K41" i="6" s="1"/>
  <c r="J42" i="6"/>
  <c r="K42" i="6" s="1"/>
  <c r="J43" i="6"/>
  <c r="K43" i="6" s="1"/>
  <c r="J44" i="6"/>
  <c r="K44" i="6" s="1"/>
  <c r="J45" i="6"/>
  <c r="K45" i="6" s="1"/>
  <c r="J46" i="6"/>
  <c r="K46" i="6" s="1"/>
  <c r="J47" i="6"/>
  <c r="J48" i="6"/>
  <c r="K48" i="6" s="1"/>
  <c r="J49" i="6"/>
  <c r="K49" i="6" s="1"/>
  <c r="J50" i="6"/>
  <c r="K50" i="6" s="1"/>
  <c r="J3" i="6"/>
  <c r="K3" i="6" s="1"/>
  <c r="J2" i="6"/>
  <c r="K2" i="6" s="1"/>
  <c r="M2" i="6" s="1"/>
  <c r="H6" i="2"/>
  <c r="H10" i="2"/>
  <c r="H14" i="2"/>
  <c r="H18" i="2"/>
  <c r="H22" i="2"/>
  <c r="H29" i="2"/>
  <c r="H33" i="2"/>
  <c r="H37" i="2"/>
  <c r="H41" i="2"/>
  <c r="H45" i="2"/>
  <c r="H52" i="2"/>
  <c r="H56" i="2"/>
  <c r="H60" i="2"/>
  <c r="H64" i="2"/>
  <c r="H68" i="2"/>
  <c r="H75" i="2"/>
  <c r="H79" i="2"/>
  <c r="H83" i="2"/>
  <c r="H87" i="2"/>
  <c r="H91" i="2"/>
  <c r="H95" i="2"/>
  <c r="H102" i="2"/>
  <c r="H106" i="2"/>
  <c r="H110" i="2"/>
  <c r="H114" i="2"/>
  <c r="H118" i="2"/>
  <c r="H125" i="2"/>
  <c r="H129" i="2"/>
  <c r="H133" i="2"/>
  <c r="H137" i="2"/>
  <c r="H141" i="2"/>
  <c r="H148" i="2"/>
  <c r="H152" i="2"/>
  <c r="H156" i="2"/>
  <c r="H160" i="2"/>
  <c r="H164" i="2"/>
  <c r="H168" i="2"/>
  <c r="H175" i="2"/>
  <c r="H179" i="2"/>
  <c r="H183" i="2"/>
  <c r="H187" i="2"/>
  <c r="H191" i="2"/>
  <c r="I191" i="2"/>
  <c r="H198" i="2"/>
  <c r="H202" i="2"/>
  <c r="H206" i="2"/>
  <c r="H210" i="2"/>
  <c r="H214" i="2"/>
  <c r="H221" i="2"/>
  <c r="H225" i="2"/>
  <c r="H229" i="2"/>
  <c r="H233" i="2"/>
  <c r="H237" i="2"/>
  <c r="H244" i="2"/>
  <c r="H248" i="2"/>
  <c r="H252" i="2"/>
  <c r="H256" i="2"/>
  <c r="H260" i="2"/>
  <c r="H267" i="2"/>
  <c r="I287" i="2" s="1"/>
  <c r="H271" i="2"/>
  <c r="H275" i="2"/>
  <c r="H279" i="2"/>
  <c r="H283" i="2"/>
  <c r="H287" i="2"/>
  <c r="H280" i="1"/>
  <c r="H288" i="1"/>
  <c r="I288" i="1"/>
  <c r="I118" i="2" l="1"/>
  <c r="L21" i="6"/>
  <c r="M21" i="6"/>
  <c r="L12" i="6"/>
  <c r="M12" i="6"/>
  <c r="L3" i="6"/>
  <c r="M3" i="6"/>
  <c r="M43" i="6"/>
  <c r="L43" i="6"/>
  <c r="N43" i="6" s="1"/>
  <c r="M35" i="6"/>
  <c r="L35" i="6"/>
  <c r="N35" i="6" s="1"/>
  <c r="M27" i="6"/>
  <c r="L27" i="6"/>
  <c r="N27" i="6" s="1"/>
  <c r="L19" i="6"/>
  <c r="M19" i="6"/>
  <c r="M11" i="6"/>
  <c r="L11" i="6"/>
  <c r="N11" i="6" s="1"/>
  <c r="M51" i="6"/>
  <c r="L51" i="6"/>
  <c r="N51" i="6" s="1"/>
  <c r="M37" i="6"/>
  <c r="L37" i="6"/>
  <c r="N37" i="6" s="1"/>
  <c r="L36" i="6"/>
  <c r="M36" i="6"/>
  <c r="L20" i="6"/>
  <c r="M20" i="6"/>
  <c r="M50" i="6"/>
  <c r="L50" i="6"/>
  <c r="N50" i="6" s="1"/>
  <c r="L18" i="6"/>
  <c r="M18" i="6"/>
  <c r="L49" i="6"/>
  <c r="M49" i="6"/>
  <c r="L41" i="6"/>
  <c r="M41" i="6"/>
  <c r="M33" i="6"/>
  <c r="L33" i="6"/>
  <c r="M25" i="6"/>
  <c r="L25" i="6"/>
  <c r="N25" i="6" s="1"/>
  <c r="M17" i="6"/>
  <c r="L17" i="6"/>
  <c r="N17" i="6" s="1"/>
  <c r="M9" i="6"/>
  <c r="L9" i="6"/>
  <c r="N9" i="6" s="1"/>
  <c r="M34" i="6"/>
  <c r="L34" i="6"/>
  <c r="N34" i="6" s="1"/>
  <c r="L16" i="6"/>
  <c r="M16" i="6"/>
  <c r="L29" i="6"/>
  <c r="M29" i="6"/>
  <c r="L28" i="6"/>
  <c r="M28" i="6"/>
  <c r="M42" i="6"/>
  <c r="L42" i="6"/>
  <c r="N42" i="6" s="1"/>
  <c r="L10" i="6"/>
  <c r="M10" i="6"/>
  <c r="N47" i="6"/>
  <c r="M40" i="6"/>
  <c r="L40" i="6"/>
  <c r="N40" i="6" s="1"/>
  <c r="L32" i="6"/>
  <c r="N32" i="6" s="1"/>
  <c r="M32" i="6"/>
  <c r="L24" i="6"/>
  <c r="N24" i="6" s="1"/>
  <c r="M24" i="6"/>
  <c r="L8" i="6"/>
  <c r="M8" i="6"/>
  <c r="L45" i="6"/>
  <c r="M45" i="6"/>
  <c r="M44" i="6"/>
  <c r="L44" i="6"/>
  <c r="N44" i="6" s="1"/>
  <c r="L4" i="6"/>
  <c r="M4" i="6"/>
  <c r="L26" i="6"/>
  <c r="M26" i="6"/>
  <c r="L48" i="6"/>
  <c r="M48" i="6"/>
  <c r="M46" i="6"/>
  <c r="L46" i="6"/>
  <c r="N46" i="6" s="1"/>
  <c r="M38" i="6"/>
  <c r="L38" i="6"/>
  <c r="N38" i="6" s="1"/>
  <c r="M30" i="6"/>
  <c r="L30" i="6"/>
  <c r="N30" i="6" s="1"/>
  <c r="L22" i="6"/>
  <c r="M22" i="6"/>
  <c r="L14" i="6"/>
  <c r="M14" i="6"/>
  <c r="L6" i="6"/>
  <c r="M6" i="6"/>
  <c r="L13" i="6"/>
  <c r="M13" i="6"/>
  <c r="L5" i="6"/>
  <c r="M5" i="6"/>
  <c r="M7" i="6"/>
  <c r="N7" i="6" s="1"/>
  <c r="M47" i="6"/>
  <c r="L31" i="6"/>
  <c r="N31" i="6" s="1"/>
  <c r="L15" i="6"/>
  <c r="N15" i="6" s="1"/>
  <c r="L39" i="6"/>
  <c r="N39" i="6" s="1"/>
  <c r="M23" i="6"/>
  <c r="N23" i="6" s="1"/>
  <c r="L2" i="6"/>
  <c r="N2" i="6" s="1"/>
  <c r="I237" i="2"/>
  <c r="I168" i="2"/>
  <c r="I260" i="2"/>
  <c r="I141" i="2"/>
  <c r="I214" i="2"/>
  <c r="I22" i="2"/>
  <c r="I95" i="2"/>
  <c r="I68" i="2"/>
  <c r="I45" i="2"/>
  <c r="N22" i="6" l="1"/>
  <c r="N36" i="6"/>
  <c r="N5" i="6"/>
  <c r="N28" i="6"/>
  <c r="N26" i="6"/>
  <c r="N19" i="6"/>
  <c r="N45" i="6"/>
  <c r="N20" i="6"/>
  <c r="N6" i="6"/>
  <c r="N4" i="6"/>
  <c r="N10" i="6"/>
  <c r="N16" i="6"/>
  <c r="N18" i="6"/>
  <c r="N12" i="6"/>
  <c r="N48" i="6"/>
  <c r="N41" i="6"/>
  <c r="N13" i="6"/>
  <c r="N29" i="6"/>
  <c r="N3" i="6"/>
  <c r="N49" i="6"/>
  <c r="N8" i="6"/>
  <c r="N14" i="6"/>
  <c r="N33" i="6"/>
  <c r="N21" i="6"/>
  <c r="I290" i="2"/>
</calcChain>
</file>

<file path=xl/sharedStrings.xml><?xml version="1.0" encoding="utf-8"?>
<sst xmlns="http://schemas.openxmlformats.org/spreadsheetml/2006/main" count="356" uniqueCount="75">
  <si>
    <t>2 Pax         Cama doble</t>
  </si>
  <si>
    <t>Anabella</t>
  </si>
  <si>
    <t xml:space="preserve">Anabella </t>
  </si>
  <si>
    <t>4 pax           Dos camas</t>
  </si>
  <si>
    <t>Gimena</t>
  </si>
  <si>
    <t xml:space="preserve">Gimena </t>
  </si>
  <si>
    <t>Martín Cruz López</t>
  </si>
  <si>
    <t>Sábado</t>
  </si>
  <si>
    <t>Viernes</t>
  </si>
  <si>
    <t>Jueves</t>
  </si>
  <si>
    <t>Miércoles</t>
  </si>
  <si>
    <t>Martes</t>
  </si>
  <si>
    <t>Lunes</t>
  </si>
  <si>
    <t>Domingo</t>
  </si>
  <si>
    <t>Diciembre</t>
  </si>
  <si>
    <t>Noviembre</t>
  </si>
  <si>
    <t>Octubre</t>
  </si>
  <si>
    <t>Setiembre</t>
  </si>
  <si>
    <t>Agosto</t>
  </si>
  <si>
    <t>Julio</t>
  </si>
  <si>
    <t>Junio</t>
  </si>
  <si>
    <t>Mayo</t>
  </si>
  <si>
    <t>Abril</t>
  </si>
  <si>
    <t>Marzo</t>
  </si>
  <si>
    <t>Febrero</t>
  </si>
  <si>
    <t>Enero</t>
  </si>
  <si>
    <t>Total anual</t>
  </si>
  <si>
    <t>Celina Fernandez</t>
  </si>
  <si>
    <t>2 Pax            Dos camas</t>
  </si>
  <si>
    <t>Andrea</t>
  </si>
  <si>
    <t>Monto mensual</t>
  </si>
  <si>
    <t>Monto semanal</t>
  </si>
  <si>
    <t>2 pax       Cama doble</t>
  </si>
  <si>
    <t>Emilio Pereyra</t>
  </si>
  <si>
    <t>4 pax        Cama doble</t>
  </si>
  <si>
    <t>4 pax       cama doble</t>
  </si>
  <si>
    <t>Fernando    Melnichuk</t>
  </si>
  <si>
    <t>Micaela Quilodrán</t>
  </si>
  <si>
    <t>Alicia</t>
  </si>
  <si>
    <t>Pax 3   Dos camas simples</t>
  </si>
  <si>
    <t>Milagros Gimenez</t>
  </si>
  <si>
    <t>pax 4         Cama doble</t>
  </si>
  <si>
    <t>Antonela</t>
  </si>
  <si>
    <t>2 pax Cama doble</t>
  </si>
  <si>
    <t>2pax   Cama doble</t>
  </si>
  <si>
    <t>Romina</t>
  </si>
  <si>
    <t>Sabrina</t>
  </si>
  <si>
    <t>Una cama doble</t>
  </si>
  <si>
    <t>Mabel</t>
  </si>
  <si>
    <t>Obreque</t>
  </si>
  <si>
    <t>Correo electrónico</t>
  </si>
  <si>
    <t>obrequesabrina1@gmail.com</t>
  </si>
  <si>
    <t>Mansilla</t>
  </si>
  <si>
    <t>lelamansilla@hotmail.com</t>
  </si>
  <si>
    <t>Check in</t>
  </si>
  <si>
    <t>Check out</t>
  </si>
  <si>
    <t>Cinthia</t>
  </si>
  <si>
    <t>Navarro</t>
  </si>
  <si>
    <t>cin_n74@hotmail.com</t>
  </si>
  <si>
    <t>2 pax             Cama doble</t>
  </si>
  <si>
    <t>Nombre/s</t>
  </si>
  <si>
    <t>Apellido/s</t>
  </si>
  <si>
    <t>Número telefónico</t>
  </si>
  <si>
    <t>Cantidad de personas</t>
  </si>
  <si>
    <t>Tipo de habitación</t>
  </si>
  <si>
    <t>Cantidad de noches</t>
  </si>
  <si>
    <t>Dos camas simples</t>
  </si>
  <si>
    <t>Tarifa por noche</t>
  </si>
  <si>
    <t>Precio total</t>
  </si>
  <si>
    <t>Seña para reserva</t>
  </si>
  <si>
    <t>Resta abonar</t>
  </si>
  <si>
    <t>Fecha de consulta</t>
  </si>
  <si>
    <t>Viviana</t>
  </si>
  <si>
    <t>Romero</t>
  </si>
  <si>
    <t>sandraviviana.898@gmail.com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</si>
</sst>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11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2"/>
      <name val="Times New Roman"/>
      <family val="1"/>
    </font>
    <font>
      <b/>
      <sz val="12"/>
      <color theme="0"/>
      <name val="Times New Roman"/>
      <family val="1"/>
    </font>
    <font>
      <b/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  <font>
      <sz val="10"/>
      <color rgb="FF353A3E"/>
      <name val="Segoe UI"/>
      <family val="2"/>
    </font>
    <font>
      <sz val="12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2">
    <xf numFmtId="0" fontId="0" fillId="0" borderId="0" xfId="0"/>
    <xf numFmtId="44" fontId="0" fillId="0" borderId="0" xfId="0" applyNumberFormat="1"/>
    <xf numFmtId="44" fontId="0" fillId="0" borderId="0" xfId="1" applyFont="1"/>
    <xf numFmtId="44" fontId="2" fillId="3" borderId="1" xfId="1" applyFont="1" applyFill="1" applyBorder="1"/>
    <xf numFmtId="0" fontId="2" fillId="0" borderId="1" xfId="0" applyFont="1" applyBorder="1"/>
    <xf numFmtId="0" fontId="2" fillId="0" borderId="2" xfId="0" applyFont="1" applyBorder="1"/>
    <xf numFmtId="0" fontId="3" fillId="4" borderId="2" xfId="0" applyFont="1" applyFill="1" applyBorder="1"/>
    <xf numFmtId="16" fontId="4" fillId="0" borderId="3" xfId="0" applyNumberFormat="1" applyFont="1" applyBorder="1"/>
    <xf numFmtId="16" fontId="2" fillId="0" borderId="3" xfId="0" applyNumberFormat="1" applyFont="1" applyBorder="1"/>
    <xf numFmtId="16" fontId="2" fillId="5" borderId="3" xfId="0" applyNumberFormat="1" applyFont="1" applyFill="1" applyBorder="1"/>
    <xf numFmtId="16" fontId="4" fillId="5" borderId="3" xfId="0" applyNumberFormat="1" applyFont="1" applyFill="1" applyBorder="1"/>
    <xf numFmtId="0" fontId="5" fillId="6" borderId="4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16" fontId="4" fillId="0" borderId="0" xfId="0" applyNumberFormat="1" applyFont="1"/>
    <xf numFmtId="16" fontId="2" fillId="0" borderId="0" xfId="0" applyNumberFormat="1" applyFont="1"/>
    <xf numFmtId="0" fontId="0" fillId="0" borderId="1" xfId="0" applyBorder="1"/>
    <xf numFmtId="0" fontId="7" fillId="0" borderId="1" xfId="0" applyFont="1" applyBorder="1"/>
    <xf numFmtId="0" fontId="0" fillId="0" borderId="2" xfId="0" applyBorder="1"/>
    <xf numFmtId="0" fontId="7" fillId="0" borderId="2" xfId="0" applyFont="1" applyBorder="1"/>
    <xf numFmtId="16" fontId="4" fillId="8" borderId="3" xfId="0" applyNumberFormat="1" applyFont="1" applyFill="1" applyBorder="1"/>
    <xf numFmtId="16" fontId="2" fillId="8" borderId="3" xfId="0" applyNumberFormat="1" applyFont="1" applyFill="1" applyBorder="1"/>
    <xf numFmtId="0" fontId="8" fillId="0" borderId="1" xfId="0" applyFont="1" applyBorder="1"/>
    <xf numFmtId="0" fontId="8" fillId="0" borderId="2" xfId="0" applyFont="1" applyBorder="1"/>
    <xf numFmtId="16" fontId="8" fillId="0" borderId="3" xfId="0" applyNumberFormat="1" applyFont="1" applyBorder="1"/>
    <xf numFmtId="16" fontId="8" fillId="5" borderId="3" xfId="0" applyNumberFormat="1" applyFont="1" applyFill="1" applyBorder="1"/>
    <xf numFmtId="16" fontId="8" fillId="8" borderId="3" xfId="0" applyNumberFormat="1" applyFont="1" applyFill="1" applyBorder="1"/>
    <xf numFmtId="0" fontId="0" fillId="0" borderId="0" xfId="0" applyAlignment="1">
      <alignment horizontal="center" vertical="center" wrapText="1"/>
    </xf>
    <xf numFmtId="44" fontId="8" fillId="0" borderId="4" xfId="0" applyNumberFormat="1" applyFont="1" applyBorder="1" applyAlignment="1">
      <alignment horizontal="center" vertical="center" wrapText="1"/>
    </xf>
    <xf numFmtId="0" fontId="8" fillId="9" borderId="6" xfId="0" applyFont="1" applyFill="1" applyBorder="1" applyAlignment="1">
      <alignment horizontal="center" vertical="center" wrapText="1"/>
    </xf>
    <xf numFmtId="44" fontId="0" fillId="0" borderId="10" xfId="0" applyNumberFormat="1" applyBorder="1" applyAlignment="1">
      <alignment horizontal="center" vertical="center" wrapText="1"/>
    </xf>
    <xf numFmtId="44" fontId="0" fillId="0" borderId="9" xfId="1" applyFont="1" applyBorder="1" applyAlignment="1">
      <alignment horizontal="center" vertical="center" wrapText="1"/>
    </xf>
    <xf numFmtId="44" fontId="0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" fontId="4" fillId="10" borderId="3" xfId="0" applyNumberFormat="1" applyFont="1" applyFill="1" applyBorder="1"/>
    <xf numFmtId="16" fontId="2" fillId="10" borderId="3" xfId="0" applyNumberFormat="1" applyFont="1" applyFill="1" applyBorder="1"/>
    <xf numFmtId="44" fontId="0" fillId="0" borderId="7" xfId="1" applyFont="1" applyBorder="1" applyAlignment="1">
      <alignment horizontal="center" vertical="center" wrapText="1"/>
    </xf>
    <xf numFmtId="44" fontId="0" fillId="0" borderId="7" xfId="0" applyNumberFormat="1" applyBorder="1" applyAlignment="1">
      <alignment horizontal="center" vertical="center" wrapText="1"/>
    </xf>
    <xf numFmtId="44" fontId="8" fillId="3" borderId="1" xfId="1" applyFont="1" applyFill="1" applyBorder="1"/>
    <xf numFmtId="0" fontId="8" fillId="4" borderId="2" xfId="0" applyFont="1" applyFill="1" applyBorder="1"/>
    <xf numFmtId="0" fontId="5" fillId="6" borderId="10" xfId="0" applyFont="1" applyFill="1" applyBorder="1" applyAlignment="1">
      <alignment horizontal="center" vertical="center" wrapText="1"/>
    </xf>
    <xf numFmtId="16" fontId="4" fillId="0" borderId="10" xfId="0" applyNumberFormat="1" applyFont="1" applyBorder="1"/>
    <xf numFmtId="16" fontId="2" fillId="0" borderId="10" xfId="0" applyNumberFormat="1" applyFont="1" applyBorder="1"/>
    <xf numFmtId="0" fontId="2" fillId="4" borderId="2" xfId="0" applyFont="1" applyFill="1" applyBorder="1"/>
    <xf numFmtId="44" fontId="2" fillId="2" borderId="1" xfId="1" applyFont="1" applyFill="1" applyBorder="1"/>
    <xf numFmtId="44" fontId="2" fillId="0" borderId="1" xfId="1" applyFont="1" applyFill="1" applyBorder="1"/>
    <xf numFmtId="16" fontId="4" fillId="0" borderId="2" xfId="0" applyNumberFormat="1" applyFont="1" applyBorder="1"/>
    <xf numFmtId="16" fontId="2" fillId="0" borderId="2" xfId="0" applyNumberFormat="1" applyFont="1" applyBorder="1"/>
    <xf numFmtId="16" fontId="4" fillId="0" borderId="9" xfId="0" applyNumberFormat="1" applyFont="1" applyBorder="1"/>
    <xf numFmtId="16" fontId="2" fillId="0" borderId="8" xfId="0" applyNumberFormat="1" applyFont="1" applyBorder="1"/>
    <xf numFmtId="16" fontId="4" fillId="0" borderId="7" xfId="0" applyNumberFormat="1" applyFont="1" applyBorder="1"/>
    <xf numFmtId="0" fontId="0" fillId="0" borderId="12" xfId="0" applyBorder="1" applyAlignment="1">
      <alignment horizontal="center" vertical="center" wrapText="1"/>
    </xf>
    <xf numFmtId="0" fontId="5" fillId="0" borderId="0" xfId="0" applyFont="1"/>
    <xf numFmtId="0" fontId="0" fillId="0" borderId="13" xfId="0" applyBorder="1"/>
    <xf numFmtId="0" fontId="0" fillId="0" borderId="19" xfId="0" applyBorder="1"/>
    <xf numFmtId="0" fontId="5" fillId="11" borderId="6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5" fillId="11" borderId="10" xfId="0" applyFont="1" applyFill="1" applyBorder="1" applyAlignment="1">
      <alignment horizontal="center" vertical="center" wrapText="1"/>
    </xf>
    <xf numFmtId="14" fontId="9" fillId="0" borderId="20" xfId="0" applyNumberFormat="1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44" fontId="0" fillId="0" borderId="20" xfId="1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4" fontId="0" fillId="0" borderId="15" xfId="0" applyNumberFormat="1" applyBorder="1" applyAlignment="1">
      <alignment horizontal="center" vertical="center" wrapText="1"/>
    </xf>
    <xf numFmtId="44" fontId="0" fillId="0" borderId="15" xfId="1" applyFont="1" applyBorder="1" applyAlignment="1">
      <alignment horizontal="center" vertical="center" wrapText="1"/>
    </xf>
    <xf numFmtId="44" fontId="0" fillId="0" borderId="16" xfId="0" applyNumberForma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8" xfId="0" applyNumberFormat="1" applyBorder="1" applyAlignment="1">
      <alignment horizontal="center" vertical="center" wrapText="1"/>
    </xf>
    <xf numFmtId="44" fontId="0" fillId="0" borderId="18" xfId="1" applyFont="1" applyBorder="1" applyAlignment="1">
      <alignment horizontal="center" vertical="center" wrapText="1"/>
    </xf>
    <xf numFmtId="44" fontId="0" fillId="0" borderId="23" xfId="0" applyNumberFormat="1" applyBorder="1" applyAlignment="1">
      <alignment horizontal="center" vertical="center" wrapText="1"/>
    </xf>
    <xf numFmtId="44" fontId="0" fillId="3" borderId="20" xfId="1" applyFont="1" applyFill="1" applyBorder="1" applyAlignment="1">
      <alignment horizontal="center" vertical="center" wrapText="1"/>
    </xf>
    <xf numFmtId="44" fontId="0" fillId="3" borderId="15" xfId="1" applyFont="1" applyFill="1" applyBorder="1" applyAlignment="1">
      <alignment horizontal="center" vertical="center" wrapText="1"/>
    </xf>
    <xf numFmtId="44" fontId="0" fillId="3" borderId="22" xfId="0" applyNumberForma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14" fontId="9" fillId="0" borderId="15" xfId="0" applyNumberFormat="1" applyFont="1" applyBorder="1" applyAlignment="1">
      <alignment horizontal="center" vertical="center" wrapText="1"/>
    </xf>
    <xf numFmtId="44" fontId="0" fillId="2" borderId="16" xfId="0" applyNumberFormat="1" applyFill="1" applyBorder="1" applyAlignment="1">
      <alignment horizontal="center" vertical="center" wrapText="1"/>
    </xf>
    <xf numFmtId="16" fontId="2" fillId="12" borderId="3" xfId="0" applyNumberFormat="1" applyFont="1" applyFill="1" applyBorder="1"/>
    <xf numFmtId="16" fontId="4" fillId="12" borderId="3" xfId="0" applyNumberFormat="1" applyFont="1" applyFill="1" applyBorder="1"/>
    <xf numFmtId="16" fontId="4" fillId="0" borderId="24" xfId="0" applyNumberFormat="1" applyFont="1" applyBorder="1" applyAlignment="1">
      <alignment horizontal="center"/>
    </xf>
    <xf numFmtId="16" fontId="4" fillId="0" borderId="8" xfId="0" applyNumberFormat="1" applyFont="1" applyBorder="1" applyAlignment="1">
      <alignment horizontal="center"/>
    </xf>
    <xf numFmtId="16" fontId="4" fillId="0" borderId="8" xfId="0" applyNumberFormat="1" applyFont="1" applyBorder="1"/>
    <xf numFmtId="44" fontId="4" fillId="0" borderId="1" xfId="1" applyFont="1" applyBorder="1"/>
    <xf numFmtId="44" fontId="2" fillId="0" borderId="1" xfId="1" applyFont="1" applyBorder="1"/>
    <xf numFmtId="44" fontId="4" fillId="0" borderId="1" xfId="1" applyFont="1" applyBorder="1" applyAlignment="1"/>
    <xf numFmtId="44" fontId="2" fillId="0" borderId="1" xfId="1" applyFont="1" applyBorder="1" applyAlignment="1"/>
    <xf numFmtId="44" fontId="4" fillId="0" borderId="1" xfId="1" applyFont="1" applyFill="1" applyBorder="1" applyAlignment="1"/>
    <xf numFmtId="44" fontId="4" fillId="0" borderId="1" xfId="1" applyFont="1" applyFill="1" applyBorder="1"/>
    <xf numFmtId="0" fontId="6" fillId="2" borderId="9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7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 indent="1"/>
    </xf>
    <xf numFmtId="14" fontId="9" fillId="0" borderId="0" xfId="0" applyNumberFormat="1" applyFont="1" applyAlignment="1">
      <alignment horizontal="left" vertical="center" wrapText="1" indent="1"/>
    </xf>
    <xf numFmtId="44" fontId="0" fillId="2" borderId="15" xfId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4" fontId="0" fillId="0" borderId="25" xfId="0" applyNumberFormat="1" applyBorder="1" applyAlignment="1">
      <alignment horizontal="center" vertical="center" wrapText="1"/>
    </xf>
    <xf numFmtId="44" fontId="0" fillId="0" borderId="25" xfId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14" fontId="9" fillId="0" borderId="15" xfId="0" applyNumberFormat="1" applyFon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 wrapText="1"/>
    </xf>
    <xf numFmtId="14" fontId="10" fillId="0" borderId="27" xfId="0" applyNumberFormat="1" applyFont="1" applyBorder="1" applyAlignment="1">
      <alignment horizontal="center" vertical="center" wrapText="1"/>
    </xf>
    <xf numFmtId="14" fontId="0" fillId="0" borderId="27" xfId="0" applyNumberForma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horizontal="left" vertical="center" wrapText="1" indent="1"/>
    </xf>
    <xf numFmtId="14" fontId="9" fillId="0" borderId="14" xfId="0" applyNumberFormat="1" applyFont="1" applyBorder="1" applyAlignment="1">
      <alignment horizontal="left" vertical="center" wrapText="1" indent="1"/>
    </xf>
    <xf numFmtId="0" fontId="2" fillId="2" borderId="2" xfId="0" applyFont="1" applyFill="1" applyBorder="1"/>
  </cellXfs>
  <cellStyles count="2">
    <cellStyle name="Moneda" xfId="1" builtinId="4"/>
    <cellStyle name="Normal" xfId="0" builtinId="0"/>
  </cellStyles>
  <dxfs count="6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6E69B-66A6-4933-A938-22410FA8382A}">
  <sheetPr codeName="Hoja5"/>
  <dimension ref="A1:P51"/>
  <sheetViews>
    <sheetView tabSelected="1" topLeftCell="B1" workbookViewId="0">
      <selection activeCell="D15" sqref="D15"/>
    </sheetView>
  </sheetViews>
  <sheetFormatPr baseColWidth="10" defaultRowHeight="15.6" x14ac:dyDescent="0.3"/>
  <cols>
    <col min="1" max="1" width="12.19921875" customWidth="1"/>
    <col min="2" max="2" width="10.59765625" bestFit="1" customWidth="1"/>
    <col min="3" max="3" width="10.3984375" bestFit="1" customWidth="1"/>
    <col min="4" max="4" width="23.3984375" customWidth="1"/>
    <col min="5" max="5" width="11.3984375" bestFit="1" customWidth="1"/>
    <col min="6" max="6" width="13.19921875" bestFit="1" customWidth="1"/>
    <col min="7" max="7" width="11.69921875" customWidth="1"/>
    <col min="8" max="8" width="9.69921875" bestFit="1" customWidth="1"/>
    <col min="9" max="9" width="11.19921875" bestFit="1" customWidth="1"/>
    <col min="10" max="10" width="13.3984375" customWidth="1"/>
    <col min="11" max="11" width="11.8984375" bestFit="1" customWidth="1"/>
    <col min="12" max="14" width="11.796875" bestFit="1" customWidth="1"/>
  </cols>
  <sheetData>
    <row r="1" spans="1:16" s="53" customFormat="1" ht="35.4" thickBot="1" x14ac:dyDescent="0.35">
      <c r="A1" s="56" t="s">
        <v>71</v>
      </c>
      <c r="B1" s="56" t="s">
        <v>60</v>
      </c>
      <c r="C1" s="57" t="s">
        <v>61</v>
      </c>
      <c r="D1" s="57" t="s">
        <v>50</v>
      </c>
      <c r="E1" s="57" t="s">
        <v>62</v>
      </c>
      <c r="F1" s="57" t="s">
        <v>63</v>
      </c>
      <c r="G1" s="57" t="s">
        <v>64</v>
      </c>
      <c r="H1" s="57" t="s">
        <v>54</v>
      </c>
      <c r="I1" s="57" t="s">
        <v>55</v>
      </c>
      <c r="J1" s="58" t="s">
        <v>65</v>
      </c>
      <c r="K1" s="58" t="s">
        <v>67</v>
      </c>
      <c r="L1" s="58" t="s">
        <v>68</v>
      </c>
      <c r="M1" s="58" t="s">
        <v>69</v>
      </c>
      <c r="N1" s="58" t="s">
        <v>70</v>
      </c>
    </row>
    <row r="2" spans="1:16" ht="31.2" customHeight="1" x14ac:dyDescent="0.3">
      <c r="A2" s="111">
        <v>45042</v>
      </c>
      <c r="B2" s="116" t="s">
        <v>46</v>
      </c>
      <c r="C2" s="63" t="s">
        <v>49</v>
      </c>
      <c r="D2" s="63" t="s">
        <v>51</v>
      </c>
      <c r="E2" s="63">
        <v>2974318256</v>
      </c>
      <c r="F2" s="64">
        <v>2</v>
      </c>
      <c r="G2" s="64" t="s">
        <v>47</v>
      </c>
      <c r="H2" s="62">
        <v>45045</v>
      </c>
      <c r="I2" s="62">
        <v>45048</v>
      </c>
      <c r="J2" s="64">
        <f>I2-H2</f>
        <v>3</v>
      </c>
      <c r="K2" s="67">
        <f>IF(AND(F2&gt;0,F2&lt;=2,J2&gt;=3),10000,0)+IF(AND(F2&gt;0,F2&lt;=2,0&lt;J2,J2&lt;3),12000,0)+IF(AND(F2=3,J2&gt;=3),12000,0)+IF(AND(F2=3,0&lt;J2,J2&lt;3),14000,0)+IF(AND(F2=4,J2&gt;=3),14000,0)+IF(AND(F2=4,0&lt;J2,J2&lt;3),16000,0)</f>
        <v>10000</v>
      </c>
      <c r="L2" s="67">
        <f>K2*J2</f>
        <v>30000</v>
      </c>
      <c r="M2" s="76">
        <f>K2</f>
        <v>10000</v>
      </c>
      <c r="N2" s="78">
        <f>L2-M2</f>
        <v>20000</v>
      </c>
    </row>
    <row r="3" spans="1:16" ht="30" x14ac:dyDescent="0.3">
      <c r="A3" s="112">
        <v>45042</v>
      </c>
      <c r="B3" s="117" t="s">
        <v>48</v>
      </c>
      <c r="C3" s="79" t="s">
        <v>52</v>
      </c>
      <c r="D3" s="79" t="s">
        <v>53</v>
      </c>
      <c r="E3" s="79">
        <v>2974124063</v>
      </c>
      <c r="F3" s="65">
        <v>4</v>
      </c>
      <c r="G3" s="79" t="s">
        <v>47</v>
      </c>
      <c r="H3" s="80">
        <v>45084</v>
      </c>
      <c r="I3" s="80">
        <v>45091</v>
      </c>
      <c r="J3" s="65">
        <f>I3-H3</f>
        <v>7</v>
      </c>
      <c r="K3" s="70">
        <f t="shared" ref="K3:K51" si="0">IF(AND(F3&gt;0,F3&lt;=2,J3&gt;=3),10000,0)+IF(AND(F3&gt;0,F3&lt;=2,0&lt;J3,J3&lt;3),12000,0)+IF(AND(F3=3,J3&gt;=3),12000,0)+IF(AND(F3=3,0&lt;J3,J3&lt;3),14000,0)+IF(AND(F3=4,J3&gt;=3),14000,0)+IF(AND(F3=4,0&lt;J3,J3&lt;3),16000,0)</f>
        <v>14000</v>
      </c>
      <c r="L3" s="70">
        <f t="shared" ref="L3:L51" si="1">K3*J3</f>
        <v>98000</v>
      </c>
      <c r="M3" s="77">
        <f t="shared" ref="M3:M51" si="2">K3</f>
        <v>14000</v>
      </c>
      <c r="N3" s="81">
        <f t="shared" ref="N3:N51" si="3">L3-M3</f>
        <v>84000</v>
      </c>
    </row>
    <row r="4" spans="1:16" ht="30" x14ac:dyDescent="0.3">
      <c r="A4" s="113">
        <v>45043</v>
      </c>
      <c r="B4" s="117" t="s">
        <v>56</v>
      </c>
      <c r="C4" s="79" t="s">
        <v>57</v>
      </c>
      <c r="D4" s="79" t="s">
        <v>58</v>
      </c>
      <c r="E4" s="79">
        <v>2975927889</v>
      </c>
      <c r="F4" s="79">
        <v>2</v>
      </c>
      <c r="G4" s="79" t="s">
        <v>47</v>
      </c>
      <c r="H4" s="80">
        <v>45051</v>
      </c>
      <c r="I4" s="80">
        <v>45053</v>
      </c>
      <c r="J4" s="65">
        <f t="shared" ref="J4:J51" si="4">I4-H4</f>
        <v>2</v>
      </c>
      <c r="K4" s="70">
        <f t="shared" si="0"/>
        <v>12000</v>
      </c>
      <c r="L4" s="70">
        <f t="shared" si="1"/>
        <v>24000</v>
      </c>
      <c r="M4" s="77">
        <f t="shared" si="2"/>
        <v>12000</v>
      </c>
      <c r="N4" s="81">
        <f t="shared" si="3"/>
        <v>12000</v>
      </c>
    </row>
    <row r="5" spans="1:16" ht="30" x14ac:dyDescent="0.3">
      <c r="A5" s="113">
        <v>45047</v>
      </c>
      <c r="B5" s="118" t="s">
        <v>72</v>
      </c>
      <c r="C5" s="109" t="s">
        <v>73</v>
      </c>
      <c r="D5" s="109" t="s">
        <v>74</v>
      </c>
      <c r="E5" s="109">
        <v>2974581648</v>
      </c>
      <c r="F5" s="109">
        <v>4</v>
      </c>
      <c r="G5" s="79" t="s">
        <v>47</v>
      </c>
      <c r="H5" s="110">
        <v>45053</v>
      </c>
      <c r="I5" s="110">
        <v>45059</v>
      </c>
      <c r="J5" s="65">
        <f t="shared" si="4"/>
        <v>6</v>
      </c>
      <c r="K5" s="70">
        <f t="shared" si="0"/>
        <v>14000</v>
      </c>
      <c r="L5" s="70">
        <f t="shared" si="1"/>
        <v>84000</v>
      </c>
      <c r="M5" s="105">
        <f t="shared" si="2"/>
        <v>14000</v>
      </c>
      <c r="N5" s="71">
        <f t="shared" si="3"/>
        <v>70000</v>
      </c>
      <c r="P5" s="102"/>
    </row>
    <row r="6" spans="1:16" x14ac:dyDescent="0.3">
      <c r="A6" s="114"/>
      <c r="B6" s="119"/>
      <c r="C6" s="106"/>
      <c r="D6" s="106"/>
      <c r="E6" s="106"/>
      <c r="F6" s="106"/>
      <c r="G6" s="106"/>
      <c r="H6" s="107"/>
      <c r="I6" s="107"/>
      <c r="J6" s="106">
        <f t="shared" si="4"/>
        <v>0</v>
      </c>
      <c r="K6" s="108">
        <f t="shared" si="0"/>
        <v>0</v>
      </c>
      <c r="L6" s="70">
        <f t="shared" si="1"/>
        <v>0</v>
      </c>
      <c r="M6" s="70">
        <f t="shared" si="2"/>
        <v>0</v>
      </c>
      <c r="N6" s="71">
        <f t="shared" si="3"/>
        <v>0</v>
      </c>
      <c r="P6" s="103"/>
    </row>
    <row r="7" spans="1:16" x14ac:dyDescent="0.3">
      <c r="A7" s="114"/>
      <c r="B7" s="119"/>
      <c r="C7" s="65"/>
      <c r="D7" s="65"/>
      <c r="E7" s="65"/>
      <c r="F7" s="65"/>
      <c r="G7" s="65"/>
      <c r="H7" s="69"/>
      <c r="I7" s="69"/>
      <c r="J7" s="65">
        <f t="shared" si="4"/>
        <v>0</v>
      </c>
      <c r="K7" s="70">
        <f t="shared" si="0"/>
        <v>0</v>
      </c>
      <c r="L7" s="70">
        <f t="shared" si="1"/>
        <v>0</v>
      </c>
      <c r="M7" s="70">
        <f t="shared" si="2"/>
        <v>0</v>
      </c>
      <c r="N7" s="71">
        <f t="shared" si="3"/>
        <v>0</v>
      </c>
      <c r="P7" s="102"/>
    </row>
    <row r="8" spans="1:16" x14ac:dyDescent="0.3">
      <c r="A8" s="114"/>
      <c r="B8" s="119"/>
      <c r="C8" s="65"/>
      <c r="D8" s="65"/>
      <c r="E8" s="65"/>
      <c r="F8" s="65"/>
      <c r="G8" s="65"/>
      <c r="H8" s="69"/>
      <c r="I8" s="69"/>
      <c r="J8" s="65">
        <f t="shared" si="4"/>
        <v>0</v>
      </c>
      <c r="K8" s="70">
        <f t="shared" si="0"/>
        <v>0</v>
      </c>
      <c r="L8" s="70">
        <f t="shared" si="1"/>
        <v>0</v>
      </c>
      <c r="M8" s="70">
        <f t="shared" si="2"/>
        <v>0</v>
      </c>
      <c r="N8" s="71">
        <f t="shared" si="3"/>
        <v>0</v>
      </c>
      <c r="P8" s="103"/>
    </row>
    <row r="9" spans="1:16" x14ac:dyDescent="0.3">
      <c r="A9" s="114"/>
      <c r="B9" s="119"/>
      <c r="C9" s="65"/>
      <c r="D9" s="65"/>
      <c r="E9" s="65"/>
      <c r="F9" s="65"/>
      <c r="G9" s="65"/>
      <c r="H9" s="69"/>
      <c r="I9" s="69"/>
      <c r="J9" s="65">
        <f t="shared" si="4"/>
        <v>0</v>
      </c>
      <c r="K9" s="70">
        <f t="shared" si="0"/>
        <v>0</v>
      </c>
      <c r="L9" s="70">
        <f t="shared" si="1"/>
        <v>0</v>
      </c>
      <c r="M9" s="70">
        <f t="shared" si="2"/>
        <v>0</v>
      </c>
      <c r="N9" s="71">
        <f t="shared" si="3"/>
        <v>0</v>
      </c>
      <c r="P9" s="102"/>
    </row>
    <row r="10" spans="1:16" x14ac:dyDescent="0.3">
      <c r="A10" s="114"/>
      <c r="B10" s="119"/>
      <c r="C10" s="65"/>
      <c r="D10" s="65"/>
      <c r="E10" s="65"/>
      <c r="F10" s="65"/>
      <c r="G10" s="65"/>
      <c r="H10" s="69"/>
      <c r="I10" s="69"/>
      <c r="J10" s="65">
        <f t="shared" si="4"/>
        <v>0</v>
      </c>
      <c r="K10" s="70">
        <f t="shared" si="0"/>
        <v>0</v>
      </c>
      <c r="L10" s="70">
        <f t="shared" si="1"/>
        <v>0</v>
      </c>
      <c r="M10" s="70">
        <f t="shared" si="2"/>
        <v>0</v>
      </c>
      <c r="N10" s="71">
        <f t="shared" si="3"/>
        <v>0</v>
      </c>
      <c r="P10" s="103"/>
    </row>
    <row r="11" spans="1:16" x14ac:dyDescent="0.3">
      <c r="A11" s="114"/>
      <c r="B11" s="120"/>
      <c r="C11" s="65"/>
      <c r="D11" s="65"/>
      <c r="E11" s="65"/>
      <c r="F11" s="65"/>
      <c r="G11" s="65"/>
      <c r="H11" s="69"/>
      <c r="I11" s="69"/>
      <c r="J11" s="65">
        <f t="shared" si="4"/>
        <v>0</v>
      </c>
      <c r="K11" s="70">
        <f t="shared" si="0"/>
        <v>0</v>
      </c>
      <c r="L11" s="70">
        <f t="shared" si="1"/>
        <v>0</v>
      </c>
      <c r="M11" s="70">
        <f t="shared" si="2"/>
        <v>0</v>
      </c>
      <c r="N11" s="71">
        <f t="shared" si="3"/>
        <v>0</v>
      </c>
      <c r="P11" s="102"/>
    </row>
    <row r="12" spans="1:16" x14ac:dyDescent="0.3">
      <c r="A12" s="114"/>
      <c r="B12" s="120"/>
      <c r="C12" s="65"/>
      <c r="D12" s="65"/>
      <c r="E12" s="65"/>
      <c r="F12" s="65"/>
      <c r="G12" s="65"/>
      <c r="H12" s="69"/>
      <c r="I12" s="69"/>
      <c r="J12" s="65">
        <f t="shared" si="4"/>
        <v>0</v>
      </c>
      <c r="K12" s="70">
        <f t="shared" si="0"/>
        <v>0</v>
      </c>
      <c r="L12" s="70">
        <f t="shared" si="1"/>
        <v>0</v>
      </c>
      <c r="M12" s="70">
        <f t="shared" si="2"/>
        <v>0</v>
      </c>
      <c r="N12" s="71">
        <f t="shared" si="3"/>
        <v>0</v>
      </c>
      <c r="P12" s="103"/>
    </row>
    <row r="13" spans="1:16" x14ac:dyDescent="0.3">
      <c r="A13" s="114"/>
      <c r="B13" s="68"/>
      <c r="C13" s="65"/>
      <c r="D13" s="65"/>
      <c r="E13" s="65"/>
      <c r="F13" s="65"/>
      <c r="G13" s="65"/>
      <c r="H13" s="69"/>
      <c r="I13" s="69"/>
      <c r="J13" s="65">
        <f t="shared" si="4"/>
        <v>0</v>
      </c>
      <c r="K13" s="70">
        <f t="shared" si="0"/>
        <v>0</v>
      </c>
      <c r="L13" s="70">
        <f t="shared" si="1"/>
        <v>0</v>
      </c>
      <c r="M13" s="70">
        <f t="shared" si="2"/>
        <v>0</v>
      </c>
      <c r="N13" s="71">
        <f t="shared" si="3"/>
        <v>0</v>
      </c>
      <c r="P13" s="102"/>
    </row>
    <row r="14" spans="1:16" x14ac:dyDescent="0.3">
      <c r="A14" s="114"/>
      <c r="B14" s="68"/>
      <c r="C14" s="65"/>
      <c r="D14" s="65"/>
      <c r="E14" s="65"/>
      <c r="F14" s="65"/>
      <c r="G14" s="65"/>
      <c r="H14" s="69"/>
      <c r="I14" s="69"/>
      <c r="J14" s="65">
        <f t="shared" si="4"/>
        <v>0</v>
      </c>
      <c r="K14" s="70">
        <f t="shared" si="0"/>
        <v>0</v>
      </c>
      <c r="L14" s="70">
        <f t="shared" si="1"/>
        <v>0</v>
      </c>
      <c r="M14" s="70">
        <f t="shared" si="2"/>
        <v>0</v>
      </c>
      <c r="N14" s="71">
        <f t="shared" si="3"/>
        <v>0</v>
      </c>
      <c r="P14" s="103"/>
    </row>
    <row r="15" spans="1:16" x14ac:dyDescent="0.3">
      <c r="A15" s="114"/>
      <c r="B15" s="68"/>
      <c r="C15" s="65"/>
      <c r="D15" s="65"/>
      <c r="E15" s="65"/>
      <c r="F15" s="65"/>
      <c r="G15" s="65"/>
      <c r="H15" s="69"/>
      <c r="I15" s="69"/>
      <c r="J15" s="65">
        <f t="shared" si="4"/>
        <v>0</v>
      </c>
      <c r="K15" s="70">
        <f t="shared" si="0"/>
        <v>0</v>
      </c>
      <c r="L15" s="70">
        <f t="shared" si="1"/>
        <v>0</v>
      </c>
      <c r="M15" s="70">
        <f t="shared" si="2"/>
        <v>0</v>
      </c>
      <c r="N15" s="71">
        <f t="shared" si="3"/>
        <v>0</v>
      </c>
      <c r="P15" s="102"/>
    </row>
    <row r="16" spans="1:16" x14ac:dyDescent="0.3">
      <c r="A16" s="114"/>
      <c r="B16" s="68"/>
      <c r="C16" s="65"/>
      <c r="D16" s="65"/>
      <c r="E16" s="65"/>
      <c r="F16" s="65"/>
      <c r="G16" s="65"/>
      <c r="H16" s="69"/>
      <c r="I16" s="69"/>
      <c r="J16" s="65">
        <f t="shared" si="4"/>
        <v>0</v>
      </c>
      <c r="K16" s="70">
        <f t="shared" si="0"/>
        <v>0</v>
      </c>
      <c r="L16" s="70">
        <f t="shared" si="1"/>
        <v>0</v>
      </c>
      <c r="M16" s="70">
        <f t="shared" si="2"/>
        <v>0</v>
      </c>
      <c r="N16" s="71">
        <f t="shared" si="3"/>
        <v>0</v>
      </c>
      <c r="P16" s="103"/>
    </row>
    <row r="17" spans="1:16" x14ac:dyDescent="0.3">
      <c r="A17" s="114"/>
      <c r="B17" s="68"/>
      <c r="C17" s="65"/>
      <c r="D17" s="65"/>
      <c r="E17" s="65"/>
      <c r="F17" s="65"/>
      <c r="G17" s="65"/>
      <c r="H17" s="69"/>
      <c r="I17" s="69"/>
      <c r="J17" s="65">
        <f t="shared" si="4"/>
        <v>0</v>
      </c>
      <c r="K17" s="70">
        <f t="shared" si="0"/>
        <v>0</v>
      </c>
      <c r="L17" s="70">
        <f t="shared" si="1"/>
        <v>0</v>
      </c>
      <c r="M17" s="70">
        <f t="shared" si="2"/>
        <v>0</v>
      </c>
      <c r="N17" s="71">
        <f t="shared" si="3"/>
        <v>0</v>
      </c>
      <c r="P17" s="102"/>
    </row>
    <row r="18" spans="1:16" x14ac:dyDescent="0.3">
      <c r="A18" s="114"/>
      <c r="B18" s="68"/>
      <c r="C18" s="65"/>
      <c r="D18" s="65"/>
      <c r="E18" s="65"/>
      <c r="F18" s="65"/>
      <c r="G18" s="65"/>
      <c r="H18" s="69"/>
      <c r="I18" s="69"/>
      <c r="J18" s="65">
        <f t="shared" si="4"/>
        <v>0</v>
      </c>
      <c r="K18" s="70">
        <f t="shared" si="0"/>
        <v>0</v>
      </c>
      <c r="L18" s="70">
        <f t="shared" si="1"/>
        <v>0</v>
      </c>
      <c r="M18" s="70">
        <f t="shared" si="2"/>
        <v>0</v>
      </c>
      <c r="N18" s="71">
        <f t="shared" si="3"/>
        <v>0</v>
      </c>
      <c r="P18" s="104"/>
    </row>
    <row r="19" spans="1:16" x14ac:dyDescent="0.3">
      <c r="A19" s="114"/>
      <c r="B19" s="68"/>
      <c r="C19" s="65"/>
      <c r="D19" s="65"/>
      <c r="E19" s="65"/>
      <c r="F19" s="65"/>
      <c r="G19" s="65"/>
      <c r="H19" s="69"/>
      <c r="I19" s="69"/>
      <c r="J19" s="65">
        <f t="shared" si="4"/>
        <v>0</v>
      </c>
      <c r="K19" s="70">
        <f t="shared" si="0"/>
        <v>0</v>
      </c>
      <c r="L19" s="70">
        <f t="shared" si="1"/>
        <v>0</v>
      </c>
      <c r="M19" s="70">
        <f t="shared" si="2"/>
        <v>0</v>
      </c>
      <c r="N19" s="71">
        <f t="shared" si="3"/>
        <v>0</v>
      </c>
      <c r="P19" s="102"/>
    </row>
    <row r="20" spans="1:16" x14ac:dyDescent="0.3">
      <c r="A20" s="114"/>
      <c r="B20" s="68"/>
      <c r="C20" s="65"/>
      <c r="D20" s="65"/>
      <c r="E20" s="65"/>
      <c r="F20" s="65"/>
      <c r="G20" s="65"/>
      <c r="H20" s="69"/>
      <c r="I20" s="69"/>
      <c r="J20" s="65">
        <f t="shared" si="4"/>
        <v>0</v>
      </c>
      <c r="K20" s="70">
        <f t="shared" si="0"/>
        <v>0</v>
      </c>
      <c r="L20" s="70">
        <f t="shared" si="1"/>
        <v>0</v>
      </c>
      <c r="M20" s="70">
        <f t="shared" si="2"/>
        <v>0</v>
      </c>
      <c r="N20" s="71">
        <f t="shared" si="3"/>
        <v>0</v>
      </c>
      <c r="P20" s="104"/>
    </row>
    <row r="21" spans="1:16" x14ac:dyDescent="0.3">
      <c r="A21" s="114"/>
      <c r="B21" s="68"/>
      <c r="C21" s="65"/>
      <c r="D21" s="65"/>
      <c r="E21" s="65"/>
      <c r="F21" s="65"/>
      <c r="G21" s="65"/>
      <c r="H21" s="69"/>
      <c r="I21" s="69"/>
      <c r="J21" s="65">
        <f t="shared" si="4"/>
        <v>0</v>
      </c>
      <c r="K21" s="70">
        <f t="shared" si="0"/>
        <v>0</v>
      </c>
      <c r="L21" s="70">
        <f t="shared" si="1"/>
        <v>0</v>
      </c>
      <c r="M21" s="70">
        <f t="shared" si="2"/>
        <v>0</v>
      </c>
      <c r="N21" s="71">
        <f t="shared" si="3"/>
        <v>0</v>
      </c>
    </row>
    <row r="22" spans="1:16" x14ac:dyDescent="0.3">
      <c r="A22" s="114"/>
      <c r="B22" s="68"/>
      <c r="C22" s="65"/>
      <c r="D22" s="65"/>
      <c r="E22" s="65"/>
      <c r="F22" s="65"/>
      <c r="G22" s="65"/>
      <c r="H22" s="69"/>
      <c r="I22" s="69"/>
      <c r="J22" s="65">
        <f t="shared" si="4"/>
        <v>0</v>
      </c>
      <c r="K22" s="70">
        <f t="shared" si="0"/>
        <v>0</v>
      </c>
      <c r="L22" s="70">
        <f t="shared" si="1"/>
        <v>0</v>
      </c>
      <c r="M22" s="70">
        <f t="shared" si="2"/>
        <v>0</v>
      </c>
      <c r="N22" s="71">
        <f t="shared" si="3"/>
        <v>0</v>
      </c>
    </row>
    <row r="23" spans="1:16" x14ac:dyDescent="0.3">
      <c r="A23" s="114"/>
      <c r="B23" s="68"/>
      <c r="C23" s="65"/>
      <c r="D23" s="65"/>
      <c r="E23" s="65"/>
      <c r="F23" s="65"/>
      <c r="G23" s="65"/>
      <c r="H23" s="69"/>
      <c r="I23" s="69"/>
      <c r="J23" s="65">
        <f t="shared" si="4"/>
        <v>0</v>
      </c>
      <c r="K23" s="70">
        <f t="shared" si="0"/>
        <v>0</v>
      </c>
      <c r="L23" s="70">
        <f t="shared" si="1"/>
        <v>0</v>
      </c>
      <c r="M23" s="70">
        <f t="shared" si="2"/>
        <v>0</v>
      </c>
      <c r="N23" s="71">
        <f t="shared" si="3"/>
        <v>0</v>
      </c>
    </row>
    <row r="24" spans="1:16" x14ac:dyDescent="0.3">
      <c r="A24" s="114"/>
      <c r="B24" s="68"/>
      <c r="C24" s="65"/>
      <c r="D24" s="65"/>
      <c r="E24" s="65"/>
      <c r="F24" s="65"/>
      <c r="G24" s="65"/>
      <c r="H24" s="69"/>
      <c r="I24" s="69"/>
      <c r="J24" s="65">
        <f t="shared" si="4"/>
        <v>0</v>
      </c>
      <c r="K24" s="70">
        <f t="shared" si="0"/>
        <v>0</v>
      </c>
      <c r="L24" s="70">
        <f t="shared" si="1"/>
        <v>0</v>
      </c>
      <c r="M24" s="70">
        <f t="shared" si="2"/>
        <v>0</v>
      </c>
      <c r="N24" s="71">
        <f t="shared" si="3"/>
        <v>0</v>
      </c>
    </row>
    <row r="25" spans="1:16" x14ac:dyDescent="0.3">
      <c r="A25" s="114"/>
      <c r="B25" s="68"/>
      <c r="C25" s="65"/>
      <c r="D25" s="65"/>
      <c r="E25" s="65"/>
      <c r="F25" s="65"/>
      <c r="G25" s="65"/>
      <c r="H25" s="69"/>
      <c r="I25" s="69"/>
      <c r="J25" s="65">
        <f t="shared" si="4"/>
        <v>0</v>
      </c>
      <c r="K25" s="70">
        <f t="shared" si="0"/>
        <v>0</v>
      </c>
      <c r="L25" s="70">
        <f t="shared" si="1"/>
        <v>0</v>
      </c>
      <c r="M25" s="70">
        <f t="shared" si="2"/>
        <v>0</v>
      </c>
      <c r="N25" s="71">
        <f t="shared" si="3"/>
        <v>0</v>
      </c>
    </row>
    <row r="26" spans="1:16" x14ac:dyDescent="0.3">
      <c r="A26" s="114"/>
      <c r="B26" s="68"/>
      <c r="C26" s="65"/>
      <c r="D26" s="65"/>
      <c r="E26" s="65"/>
      <c r="F26" s="65"/>
      <c r="G26" s="65"/>
      <c r="H26" s="69"/>
      <c r="I26" s="69"/>
      <c r="J26" s="65">
        <f t="shared" si="4"/>
        <v>0</v>
      </c>
      <c r="K26" s="70">
        <f t="shared" si="0"/>
        <v>0</v>
      </c>
      <c r="L26" s="70">
        <f t="shared" si="1"/>
        <v>0</v>
      </c>
      <c r="M26" s="70">
        <f t="shared" si="2"/>
        <v>0</v>
      </c>
      <c r="N26" s="71">
        <f t="shared" si="3"/>
        <v>0</v>
      </c>
    </row>
    <row r="27" spans="1:16" x14ac:dyDescent="0.3">
      <c r="A27" s="114"/>
      <c r="B27" s="68"/>
      <c r="C27" s="65"/>
      <c r="D27" s="65"/>
      <c r="E27" s="65"/>
      <c r="F27" s="65"/>
      <c r="G27" s="65"/>
      <c r="H27" s="69"/>
      <c r="I27" s="69"/>
      <c r="J27" s="65">
        <f t="shared" si="4"/>
        <v>0</v>
      </c>
      <c r="K27" s="70">
        <f t="shared" si="0"/>
        <v>0</v>
      </c>
      <c r="L27" s="70">
        <f t="shared" si="1"/>
        <v>0</v>
      </c>
      <c r="M27" s="70">
        <f t="shared" si="2"/>
        <v>0</v>
      </c>
      <c r="N27" s="71">
        <f t="shared" si="3"/>
        <v>0</v>
      </c>
    </row>
    <row r="28" spans="1:16" x14ac:dyDescent="0.3">
      <c r="A28" s="114"/>
      <c r="B28" s="68"/>
      <c r="C28" s="65"/>
      <c r="D28" s="65"/>
      <c r="E28" s="65"/>
      <c r="F28" s="65"/>
      <c r="G28" s="65"/>
      <c r="H28" s="69"/>
      <c r="I28" s="69"/>
      <c r="J28" s="65">
        <f t="shared" si="4"/>
        <v>0</v>
      </c>
      <c r="K28" s="70">
        <f t="shared" si="0"/>
        <v>0</v>
      </c>
      <c r="L28" s="70">
        <f t="shared" si="1"/>
        <v>0</v>
      </c>
      <c r="M28" s="70">
        <f t="shared" si="2"/>
        <v>0</v>
      </c>
      <c r="N28" s="71">
        <f t="shared" si="3"/>
        <v>0</v>
      </c>
    </row>
    <row r="29" spans="1:16" x14ac:dyDescent="0.3">
      <c r="A29" s="114"/>
      <c r="B29" s="68"/>
      <c r="C29" s="65"/>
      <c r="D29" s="65"/>
      <c r="E29" s="65"/>
      <c r="F29" s="65"/>
      <c r="G29" s="65"/>
      <c r="H29" s="69"/>
      <c r="I29" s="69"/>
      <c r="J29" s="65">
        <f t="shared" si="4"/>
        <v>0</v>
      </c>
      <c r="K29" s="70">
        <f t="shared" si="0"/>
        <v>0</v>
      </c>
      <c r="L29" s="70">
        <f t="shared" si="1"/>
        <v>0</v>
      </c>
      <c r="M29" s="70">
        <f t="shared" si="2"/>
        <v>0</v>
      </c>
      <c r="N29" s="71">
        <f t="shared" si="3"/>
        <v>0</v>
      </c>
    </row>
    <row r="30" spans="1:16" x14ac:dyDescent="0.3">
      <c r="A30" s="114"/>
      <c r="B30" s="68"/>
      <c r="C30" s="65"/>
      <c r="D30" s="65"/>
      <c r="E30" s="65"/>
      <c r="F30" s="65"/>
      <c r="G30" s="65"/>
      <c r="H30" s="69"/>
      <c r="I30" s="69"/>
      <c r="J30" s="65">
        <f t="shared" si="4"/>
        <v>0</v>
      </c>
      <c r="K30" s="70">
        <f t="shared" si="0"/>
        <v>0</v>
      </c>
      <c r="L30" s="70">
        <f t="shared" si="1"/>
        <v>0</v>
      </c>
      <c r="M30" s="70">
        <f t="shared" si="2"/>
        <v>0</v>
      </c>
      <c r="N30" s="71">
        <f t="shared" si="3"/>
        <v>0</v>
      </c>
    </row>
    <row r="31" spans="1:16" x14ac:dyDescent="0.3">
      <c r="A31" s="114"/>
      <c r="B31" s="68"/>
      <c r="C31" s="65"/>
      <c r="D31" s="65"/>
      <c r="E31" s="65"/>
      <c r="F31" s="65"/>
      <c r="G31" s="65"/>
      <c r="H31" s="69"/>
      <c r="I31" s="69"/>
      <c r="J31" s="65">
        <f t="shared" si="4"/>
        <v>0</v>
      </c>
      <c r="K31" s="70">
        <f t="shared" si="0"/>
        <v>0</v>
      </c>
      <c r="L31" s="70">
        <f t="shared" si="1"/>
        <v>0</v>
      </c>
      <c r="M31" s="70">
        <f t="shared" si="2"/>
        <v>0</v>
      </c>
      <c r="N31" s="71">
        <f t="shared" si="3"/>
        <v>0</v>
      </c>
    </row>
    <row r="32" spans="1:16" x14ac:dyDescent="0.3">
      <c r="A32" s="114"/>
      <c r="B32" s="68"/>
      <c r="C32" s="65"/>
      <c r="D32" s="65"/>
      <c r="E32" s="65"/>
      <c r="F32" s="65"/>
      <c r="G32" s="65"/>
      <c r="H32" s="69"/>
      <c r="I32" s="69"/>
      <c r="J32" s="65">
        <f t="shared" si="4"/>
        <v>0</v>
      </c>
      <c r="K32" s="70">
        <f t="shared" si="0"/>
        <v>0</v>
      </c>
      <c r="L32" s="70">
        <f t="shared" si="1"/>
        <v>0</v>
      </c>
      <c r="M32" s="70">
        <f t="shared" si="2"/>
        <v>0</v>
      </c>
      <c r="N32" s="71">
        <f t="shared" si="3"/>
        <v>0</v>
      </c>
    </row>
    <row r="33" spans="1:14" x14ac:dyDescent="0.3">
      <c r="A33" s="114"/>
      <c r="B33" s="68"/>
      <c r="C33" s="65"/>
      <c r="D33" s="65"/>
      <c r="E33" s="65"/>
      <c r="F33" s="65"/>
      <c r="G33" s="65"/>
      <c r="H33" s="69"/>
      <c r="I33" s="69"/>
      <c r="J33" s="65">
        <f t="shared" si="4"/>
        <v>0</v>
      </c>
      <c r="K33" s="70">
        <f t="shared" si="0"/>
        <v>0</v>
      </c>
      <c r="L33" s="70">
        <f t="shared" si="1"/>
        <v>0</v>
      </c>
      <c r="M33" s="70">
        <f t="shared" si="2"/>
        <v>0</v>
      </c>
      <c r="N33" s="71">
        <f t="shared" si="3"/>
        <v>0</v>
      </c>
    </row>
    <row r="34" spans="1:14" x14ac:dyDescent="0.3">
      <c r="A34" s="114"/>
      <c r="B34" s="68"/>
      <c r="C34" s="65"/>
      <c r="D34" s="65"/>
      <c r="E34" s="65"/>
      <c r="F34" s="65"/>
      <c r="G34" s="65"/>
      <c r="H34" s="69"/>
      <c r="I34" s="69"/>
      <c r="J34" s="65">
        <f t="shared" si="4"/>
        <v>0</v>
      </c>
      <c r="K34" s="70">
        <f t="shared" si="0"/>
        <v>0</v>
      </c>
      <c r="L34" s="70">
        <f t="shared" si="1"/>
        <v>0</v>
      </c>
      <c r="M34" s="70">
        <f t="shared" si="2"/>
        <v>0</v>
      </c>
      <c r="N34" s="71">
        <f t="shared" si="3"/>
        <v>0</v>
      </c>
    </row>
    <row r="35" spans="1:14" x14ac:dyDescent="0.3">
      <c r="A35" s="114"/>
      <c r="B35" s="68"/>
      <c r="C35" s="65"/>
      <c r="D35" s="65"/>
      <c r="E35" s="65"/>
      <c r="F35" s="65"/>
      <c r="G35" s="65"/>
      <c r="H35" s="69"/>
      <c r="I35" s="69"/>
      <c r="J35" s="65">
        <f t="shared" si="4"/>
        <v>0</v>
      </c>
      <c r="K35" s="70">
        <f t="shared" si="0"/>
        <v>0</v>
      </c>
      <c r="L35" s="70">
        <f t="shared" si="1"/>
        <v>0</v>
      </c>
      <c r="M35" s="70">
        <f t="shared" si="2"/>
        <v>0</v>
      </c>
      <c r="N35" s="71">
        <f t="shared" si="3"/>
        <v>0</v>
      </c>
    </row>
    <row r="36" spans="1:14" x14ac:dyDescent="0.3">
      <c r="A36" s="114"/>
      <c r="B36" s="68"/>
      <c r="C36" s="65"/>
      <c r="D36" s="65"/>
      <c r="E36" s="65"/>
      <c r="F36" s="65"/>
      <c r="G36" s="65"/>
      <c r="H36" s="69"/>
      <c r="I36" s="69"/>
      <c r="J36" s="65">
        <f t="shared" si="4"/>
        <v>0</v>
      </c>
      <c r="K36" s="70">
        <f t="shared" si="0"/>
        <v>0</v>
      </c>
      <c r="L36" s="70">
        <f t="shared" si="1"/>
        <v>0</v>
      </c>
      <c r="M36" s="70">
        <f t="shared" si="2"/>
        <v>0</v>
      </c>
      <c r="N36" s="71">
        <f t="shared" si="3"/>
        <v>0</v>
      </c>
    </row>
    <row r="37" spans="1:14" x14ac:dyDescent="0.3">
      <c r="A37" s="114"/>
      <c r="B37" s="68"/>
      <c r="C37" s="65"/>
      <c r="D37" s="65"/>
      <c r="E37" s="65"/>
      <c r="F37" s="65"/>
      <c r="G37" s="65"/>
      <c r="H37" s="69"/>
      <c r="I37" s="69"/>
      <c r="J37" s="65">
        <f t="shared" si="4"/>
        <v>0</v>
      </c>
      <c r="K37" s="70">
        <f t="shared" si="0"/>
        <v>0</v>
      </c>
      <c r="L37" s="70">
        <f t="shared" si="1"/>
        <v>0</v>
      </c>
      <c r="M37" s="70">
        <f t="shared" si="2"/>
        <v>0</v>
      </c>
      <c r="N37" s="71">
        <f t="shared" si="3"/>
        <v>0</v>
      </c>
    </row>
    <row r="38" spans="1:14" x14ac:dyDescent="0.3">
      <c r="A38" s="114"/>
      <c r="B38" s="68"/>
      <c r="C38" s="65"/>
      <c r="D38" s="65"/>
      <c r="E38" s="65"/>
      <c r="F38" s="65"/>
      <c r="G38" s="65"/>
      <c r="H38" s="69"/>
      <c r="I38" s="69"/>
      <c r="J38" s="65">
        <f t="shared" si="4"/>
        <v>0</v>
      </c>
      <c r="K38" s="70">
        <f t="shared" si="0"/>
        <v>0</v>
      </c>
      <c r="L38" s="70">
        <f t="shared" si="1"/>
        <v>0</v>
      </c>
      <c r="M38" s="70">
        <f t="shared" si="2"/>
        <v>0</v>
      </c>
      <c r="N38" s="71">
        <f t="shared" si="3"/>
        <v>0</v>
      </c>
    </row>
    <row r="39" spans="1:14" x14ac:dyDescent="0.3">
      <c r="A39" s="114"/>
      <c r="B39" s="68"/>
      <c r="C39" s="65"/>
      <c r="D39" s="65"/>
      <c r="E39" s="65"/>
      <c r="F39" s="65"/>
      <c r="G39" s="65"/>
      <c r="H39" s="69"/>
      <c r="I39" s="69"/>
      <c r="J39" s="65">
        <f t="shared" si="4"/>
        <v>0</v>
      </c>
      <c r="K39" s="70">
        <f t="shared" si="0"/>
        <v>0</v>
      </c>
      <c r="L39" s="70">
        <f t="shared" si="1"/>
        <v>0</v>
      </c>
      <c r="M39" s="70">
        <f t="shared" si="2"/>
        <v>0</v>
      </c>
      <c r="N39" s="71">
        <f t="shared" si="3"/>
        <v>0</v>
      </c>
    </row>
    <row r="40" spans="1:14" x14ac:dyDescent="0.3">
      <c r="A40" s="114"/>
      <c r="B40" s="68"/>
      <c r="C40" s="65"/>
      <c r="D40" s="65"/>
      <c r="E40" s="65"/>
      <c r="F40" s="65"/>
      <c r="G40" s="65"/>
      <c r="H40" s="69"/>
      <c r="I40" s="69"/>
      <c r="J40" s="65">
        <f t="shared" si="4"/>
        <v>0</v>
      </c>
      <c r="K40" s="70">
        <f t="shared" si="0"/>
        <v>0</v>
      </c>
      <c r="L40" s="70">
        <f t="shared" si="1"/>
        <v>0</v>
      </c>
      <c r="M40" s="70">
        <f t="shared" si="2"/>
        <v>0</v>
      </c>
      <c r="N40" s="71">
        <f t="shared" si="3"/>
        <v>0</v>
      </c>
    </row>
    <row r="41" spans="1:14" x14ac:dyDescent="0.3">
      <c r="A41" s="114"/>
      <c r="B41" s="68"/>
      <c r="C41" s="65"/>
      <c r="D41" s="65"/>
      <c r="E41" s="65"/>
      <c r="F41" s="65"/>
      <c r="G41" s="65"/>
      <c r="H41" s="69"/>
      <c r="I41" s="69"/>
      <c r="J41" s="65">
        <f t="shared" si="4"/>
        <v>0</v>
      </c>
      <c r="K41" s="70">
        <f t="shared" si="0"/>
        <v>0</v>
      </c>
      <c r="L41" s="70">
        <f t="shared" si="1"/>
        <v>0</v>
      </c>
      <c r="M41" s="70">
        <f t="shared" si="2"/>
        <v>0</v>
      </c>
      <c r="N41" s="71">
        <f t="shared" si="3"/>
        <v>0</v>
      </c>
    </row>
    <row r="42" spans="1:14" x14ac:dyDescent="0.3">
      <c r="A42" s="114"/>
      <c r="B42" s="68"/>
      <c r="C42" s="65"/>
      <c r="D42" s="65"/>
      <c r="E42" s="65"/>
      <c r="F42" s="65"/>
      <c r="G42" s="65"/>
      <c r="H42" s="69"/>
      <c r="I42" s="69"/>
      <c r="J42" s="65">
        <f t="shared" si="4"/>
        <v>0</v>
      </c>
      <c r="K42" s="70">
        <f t="shared" si="0"/>
        <v>0</v>
      </c>
      <c r="L42" s="70">
        <f t="shared" si="1"/>
        <v>0</v>
      </c>
      <c r="M42" s="70">
        <f t="shared" si="2"/>
        <v>0</v>
      </c>
      <c r="N42" s="71">
        <f t="shared" si="3"/>
        <v>0</v>
      </c>
    </row>
    <row r="43" spans="1:14" x14ac:dyDescent="0.3">
      <c r="A43" s="114"/>
      <c r="B43" s="68"/>
      <c r="C43" s="65"/>
      <c r="D43" s="65"/>
      <c r="E43" s="65"/>
      <c r="F43" s="65"/>
      <c r="G43" s="65"/>
      <c r="H43" s="69"/>
      <c r="I43" s="69"/>
      <c r="J43" s="65">
        <f t="shared" si="4"/>
        <v>0</v>
      </c>
      <c r="K43" s="70">
        <f t="shared" si="0"/>
        <v>0</v>
      </c>
      <c r="L43" s="70">
        <f t="shared" si="1"/>
        <v>0</v>
      </c>
      <c r="M43" s="70">
        <f t="shared" si="2"/>
        <v>0</v>
      </c>
      <c r="N43" s="71">
        <f t="shared" si="3"/>
        <v>0</v>
      </c>
    </row>
    <row r="44" spans="1:14" x14ac:dyDescent="0.3">
      <c r="A44" s="114"/>
      <c r="B44" s="68"/>
      <c r="C44" s="65"/>
      <c r="D44" s="65"/>
      <c r="E44" s="65"/>
      <c r="F44" s="65"/>
      <c r="G44" s="65"/>
      <c r="H44" s="69"/>
      <c r="I44" s="69"/>
      <c r="J44" s="65">
        <f t="shared" si="4"/>
        <v>0</v>
      </c>
      <c r="K44" s="70">
        <f t="shared" si="0"/>
        <v>0</v>
      </c>
      <c r="L44" s="70">
        <f t="shared" si="1"/>
        <v>0</v>
      </c>
      <c r="M44" s="70">
        <f t="shared" si="2"/>
        <v>0</v>
      </c>
      <c r="N44" s="71">
        <f t="shared" si="3"/>
        <v>0</v>
      </c>
    </row>
    <row r="45" spans="1:14" x14ac:dyDescent="0.3">
      <c r="A45" s="114"/>
      <c r="B45" s="68"/>
      <c r="C45" s="65"/>
      <c r="D45" s="65"/>
      <c r="E45" s="65"/>
      <c r="F45" s="65"/>
      <c r="G45" s="65"/>
      <c r="H45" s="69"/>
      <c r="I45" s="69"/>
      <c r="J45" s="65">
        <f t="shared" si="4"/>
        <v>0</v>
      </c>
      <c r="K45" s="70">
        <f t="shared" si="0"/>
        <v>0</v>
      </c>
      <c r="L45" s="70">
        <f t="shared" si="1"/>
        <v>0</v>
      </c>
      <c r="M45" s="70">
        <f t="shared" si="2"/>
        <v>0</v>
      </c>
      <c r="N45" s="71">
        <f t="shared" si="3"/>
        <v>0</v>
      </c>
    </row>
    <row r="46" spans="1:14" x14ac:dyDescent="0.3">
      <c r="A46" s="114"/>
      <c r="B46" s="68"/>
      <c r="C46" s="65"/>
      <c r="D46" s="65"/>
      <c r="E46" s="65"/>
      <c r="F46" s="65"/>
      <c r="G46" s="65"/>
      <c r="H46" s="69"/>
      <c r="I46" s="69"/>
      <c r="J46" s="65">
        <f t="shared" si="4"/>
        <v>0</v>
      </c>
      <c r="K46" s="70">
        <f t="shared" si="0"/>
        <v>0</v>
      </c>
      <c r="L46" s="70">
        <f t="shared" si="1"/>
        <v>0</v>
      </c>
      <c r="M46" s="70">
        <f t="shared" si="2"/>
        <v>0</v>
      </c>
      <c r="N46" s="71">
        <f t="shared" si="3"/>
        <v>0</v>
      </c>
    </row>
    <row r="47" spans="1:14" x14ac:dyDescent="0.3">
      <c r="A47" s="114"/>
      <c r="B47" s="68"/>
      <c r="C47" s="65"/>
      <c r="D47" s="65"/>
      <c r="E47" s="65"/>
      <c r="F47" s="65"/>
      <c r="G47" s="65"/>
      <c r="H47" s="69"/>
      <c r="I47" s="69"/>
      <c r="J47" s="65">
        <f t="shared" si="4"/>
        <v>0</v>
      </c>
      <c r="K47" s="70">
        <f t="shared" si="0"/>
        <v>0</v>
      </c>
      <c r="L47" s="70">
        <f t="shared" si="1"/>
        <v>0</v>
      </c>
      <c r="M47" s="70">
        <f t="shared" si="2"/>
        <v>0</v>
      </c>
      <c r="N47" s="71">
        <f t="shared" si="3"/>
        <v>0</v>
      </c>
    </row>
    <row r="48" spans="1:14" x14ac:dyDescent="0.3">
      <c r="A48" s="114"/>
      <c r="B48" s="68"/>
      <c r="C48" s="65"/>
      <c r="D48" s="65"/>
      <c r="E48" s="65"/>
      <c r="F48" s="65"/>
      <c r="G48" s="65"/>
      <c r="H48" s="69"/>
      <c r="I48" s="69"/>
      <c r="J48" s="65">
        <f t="shared" si="4"/>
        <v>0</v>
      </c>
      <c r="K48" s="70">
        <f t="shared" si="0"/>
        <v>0</v>
      </c>
      <c r="L48" s="70">
        <f t="shared" si="1"/>
        <v>0</v>
      </c>
      <c r="M48" s="70">
        <f t="shared" si="2"/>
        <v>0</v>
      </c>
      <c r="N48" s="71">
        <f t="shared" si="3"/>
        <v>0</v>
      </c>
    </row>
    <row r="49" spans="1:14" x14ac:dyDescent="0.3">
      <c r="A49" s="114"/>
      <c r="B49" s="68"/>
      <c r="C49" s="65"/>
      <c r="D49" s="65"/>
      <c r="E49" s="65"/>
      <c r="F49" s="65"/>
      <c r="G49" s="65"/>
      <c r="H49" s="69"/>
      <c r="I49" s="69"/>
      <c r="J49" s="65">
        <f t="shared" si="4"/>
        <v>0</v>
      </c>
      <c r="K49" s="70">
        <f t="shared" si="0"/>
        <v>0</v>
      </c>
      <c r="L49" s="70">
        <f t="shared" si="1"/>
        <v>0</v>
      </c>
      <c r="M49" s="70">
        <f t="shared" si="2"/>
        <v>0</v>
      </c>
      <c r="N49" s="71">
        <f t="shared" si="3"/>
        <v>0</v>
      </c>
    </row>
    <row r="50" spans="1:14" x14ac:dyDescent="0.3">
      <c r="A50" s="114"/>
      <c r="B50" s="68"/>
      <c r="C50" s="65"/>
      <c r="D50" s="65"/>
      <c r="E50" s="65"/>
      <c r="F50" s="65"/>
      <c r="G50" s="65"/>
      <c r="H50" s="69"/>
      <c r="I50" s="69"/>
      <c r="J50" s="65">
        <f t="shared" si="4"/>
        <v>0</v>
      </c>
      <c r="K50" s="70">
        <f t="shared" si="0"/>
        <v>0</v>
      </c>
      <c r="L50" s="70">
        <f t="shared" si="1"/>
        <v>0</v>
      </c>
      <c r="M50" s="70">
        <f t="shared" si="2"/>
        <v>0</v>
      </c>
      <c r="N50" s="71">
        <f t="shared" si="3"/>
        <v>0</v>
      </c>
    </row>
    <row r="51" spans="1:14" ht="16.2" thickBot="1" x14ac:dyDescent="0.35">
      <c r="A51" s="115"/>
      <c r="B51" s="72"/>
      <c r="C51" s="66"/>
      <c r="D51" s="66"/>
      <c r="E51" s="66"/>
      <c r="F51" s="66"/>
      <c r="G51" s="66"/>
      <c r="H51" s="73"/>
      <c r="I51" s="73"/>
      <c r="J51" s="66">
        <f t="shared" si="4"/>
        <v>0</v>
      </c>
      <c r="K51" s="74">
        <f t="shared" si="0"/>
        <v>0</v>
      </c>
      <c r="L51" s="74">
        <f t="shared" si="1"/>
        <v>0</v>
      </c>
      <c r="M51" s="74">
        <f t="shared" si="2"/>
        <v>0</v>
      </c>
      <c r="N51" s="75">
        <f t="shared" si="3"/>
        <v>0</v>
      </c>
    </row>
  </sheetData>
  <dataValidations count="2">
    <dataValidation type="date" allowBlank="1" showInputMessage="1" showErrorMessage="1" sqref="H2" xr:uid="{D52AD287-E1EB-40CE-9476-9315AF361BF6}">
      <formula1>44927</formula1>
      <formula2>47848</formula2>
    </dataValidation>
    <dataValidation type="date" allowBlank="1" showInputMessage="1" showErrorMessage="1" sqref="H6" xr:uid="{749AC6C5-B8E4-4A1C-9F84-AA63D10FCE15}">
      <formula1>44927</formula1>
      <formula2>46022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78F7EF7-124B-4793-8907-E878EF6FA1A3}">
          <x14:formula1>
            <xm:f>Auxiliares!$A$2:$A$5</xm:f>
          </x14:formula1>
          <xm:sqref>F2:F4 F6:F51</xm:sqref>
        </x14:dataValidation>
        <x14:dataValidation type="list" allowBlank="1" showInputMessage="1" showErrorMessage="1" xr:uid="{1A60CDA3-A75B-4FD0-8665-545AE2192249}">
          <x14:formula1>
            <xm:f>Auxiliares!$C$2:$C$3</xm:f>
          </x14:formula1>
          <xm:sqref>G2:G51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F1D36-7BF0-4765-8CB6-30CE3A64BA62}">
  <sheetPr codeName="Hoja1"/>
  <dimension ref="A1:I288"/>
  <sheetViews>
    <sheetView showGridLines="0" topLeftCell="A268" workbookViewId="0">
      <selection activeCell="H280" sqref="H280:I288"/>
    </sheetView>
  </sheetViews>
  <sheetFormatPr baseColWidth="10" defaultRowHeight="15.6" x14ac:dyDescent="0.3"/>
  <cols>
    <col min="1" max="7" width="20.69921875" customWidth="1"/>
    <col min="8" max="9" width="11.796875" bestFit="1" customWidth="1"/>
  </cols>
  <sheetData>
    <row r="1" spans="1:7" ht="16.2" thickBot="1" x14ac:dyDescent="0.35"/>
    <row r="2" spans="1:7" ht="21" thickBot="1" x14ac:dyDescent="0.35">
      <c r="A2" s="93" t="s">
        <v>25</v>
      </c>
      <c r="B2" s="94"/>
      <c r="C2" s="94"/>
      <c r="D2" s="94"/>
      <c r="E2" s="94"/>
      <c r="F2" s="94"/>
      <c r="G2" s="95"/>
    </row>
    <row r="3" spans="1:7" ht="18" thickBot="1" x14ac:dyDescent="0.35">
      <c r="A3" s="13" t="s">
        <v>13</v>
      </c>
      <c r="B3" s="12" t="s">
        <v>12</v>
      </c>
      <c r="C3" s="12" t="s">
        <v>11</v>
      </c>
      <c r="D3" s="12" t="s">
        <v>10</v>
      </c>
      <c r="E3" s="12" t="s">
        <v>9</v>
      </c>
      <c r="F3" s="12" t="s">
        <v>8</v>
      </c>
      <c r="G3" s="11" t="s">
        <v>7</v>
      </c>
    </row>
    <row r="4" spans="1:7" x14ac:dyDescent="0.3">
      <c r="A4" s="10">
        <v>44921</v>
      </c>
      <c r="B4" s="25">
        <v>44922</v>
      </c>
      <c r="C4" s="25">
        <v>44923</v>
      </c>
      <c r="D4" s="25">
        <v>44924</v>
      </c>
      <c r="E4" s="25">
        <v>44925</v>
      </c>
      <c r="F4" s="26">
        <v>44926</v>
      </c>
      <c r="G4" s="20">
        <v>44927</v>
      </c>
    </row>
    <row r="5" spans="1:7" x14ac:dyDescent="0.3">
      <c r="A5" s="23"/>
      <c r="B5" s="23"/>
      <c r="C5" s="23"/>
      <c r="D5" s="23"/>
      <c r="E5" s="23"/>
      <c r="F5" s="23"/>
      <c r="G5" s="23"/>
    </row>
    <row r="6" spans="1:7" x14ac:dyDescent="0.3">
      <c r="A6" s="23"/>
      <c r="B6" s="23"/>
      <c r="C6" s="23"/>
      <c r="D6" s="23"/>
      <c r="E6" s="23"/>
      <c r="F6" s="23"/>
      <c r="G6" s="23"/>
    </row>
    <row r="7" spans="1:7" ht="16.2" thickBot="1" x14ac:dyDescent="0.35">
      <c r="A7" s="22"/>
      <c r="B7" s="22"/>
      <c r="C7" s="22"/>
      <c r="D7" s="22"/>
      <c r="E7" s="22"/>
      <c r="F7" s="22"/>
      <c r="G7" s="22"/>
    </row>
    <row r="8" spans="1:7" x14ac:dyDescent="0.3">
      <c r="A8" s="7">
        <v>44563</v>
      </c>
      <c r="B8" s="24">
        <v>44564</v>
      </c>
      <c r="C8" s="24">
        <v>44565</v>
      </c>
      <c r="D8" s="24">
        <v>44566</v>
      </c>
      <c r="E8" s="24">
        <v>44567</v>
      </c>
      <c r="F8" s="24">
        <v>44568</v>
      </c>
      <c r="G8" s="7">
        <v>44569</v>
      </c>
    </row>
    <row r="9" spans="1:7" x14ac:dyDescent="0.3">
      <c r="A9" s="23"/>
      <c r="B9" s="23"/>
      <c r="C9" s="23"/>
      <c r="D9" s="23"/>
      <c r="E9" s="23"/>
      <c r="F9" s="23"/>
      <c r="G9" s="23"/>
    </row>
    <row r="10" spans="1:7" x14ac:dyDescent="0.3">
      <c r="A10" s="23"/>
      <c r="B10" s="23"/>
      <c r="C10" s="23"/>
      <c r="D10" s="23"/>
      <c r="E10" s="23"/>
      <c r="F10" s="23"/>
      <c r="G10" s="23"/>
    </row>
    <row r="11" spans="1:7" ht="16.2" thickBot="1" x14ac:dyDescent="0.35">
      <c r="A11" s="22"/>
      <c r="B11" s="22"/>
      <c r="C11" s="22"/>
      <c r="D11" s="22"/>
      <c r="E11" s="22"/>
      <c r="F11" s="22"/>
      <c r="G11" s="22"/>
    </row>
    <row r="12" spans="1:7" x14ac:dyDescent="0.3">
      <c r="A12" s="7">
        <v>44570</v>
      </c>
      <c r="B12" s="24">
        <v>44571</v>
      </c>
      <c r="C12" s="24">
        <v>44572</v>
      </c>
      <c r="D12" s="24">
        <v>44573</v>
      </c>
      <c r="E12" s="24">
        <v>44574</v>
      </c>
      <c r="F12" s="24">
        <v>44575</v>
      </c>
      <c r="G12" s="7">
        <v>44576</v>
      </c>
    </row>
    <row r="13" spans="1:7" x14ac:dyDescent="0.3">
      <c r="A13" s="23"/>
      <c r="B13" s="23"/>
      <c r="C13" s="23"/>
      <c r="D13" s="23"/>
      <c r="E13" s="23"/>
      <c r="F13" s="23"/>
      <c r="G13" s="23"/>
    </row>
    <row r="14" spans="1:7" x14ac:dyDescent="0.3">
      <c r="A14" s="23"/>
      <c r="B14" s="23"/>
      <c r="C14" s="23"/>
      <c r="D14" s="23"/>
      <c r="E14" s="23"/>
      <c r="F14" s="23"/>
      <c r="G14" s="23"/>
    </row>
    <row r="15" spans="1:7" ht="16.2" thickBot="1" x14ac:dyDescent="0.35">
      <c r="A15" s="22"/>
      <c r="B15" s="22"/>
      <c r="C15" s="22"/>
      <c r="D15" s="22"/>
      <c r="E15" s="22"/>
      <c r="F15" s="22"/>
      <c r="G15" s="22"/>
    </row>
    <row r="16" spans="1:7" x14ac:dyDescent="0.3">
      <c r="A16" s="7">
        <v>44577</v>
      </c>
      <c r="B16" s="24">
        <v>44578</v>
      </c>
      <c r="C16" s="24">
        <v>44579</v>
      </c>
      <c r="D16" s="24">
        <v>44580</v>
      </c>
      <c r="E16" s="24">
        <v>44581</v>
      </c>
      <c r="F16" s="24">
        <v>44582</v>
      </c>
      <c r="G16" s="7">
        <v>44583</v>
      </c>
    </row>
    <row r="17" spans="1:7" x14ac:dyDescent="0.3">
      <c r="A17" s="23"/>
      <c r="B17" s="23"/>
      <c r="C17" s="23"/>
      <c r="D17" s="23"/>
      <c r="E17" s="23"/>
      <c r="F17" s="23"/>
      <c r="G17" s="23"/>
    </row>
    <row r="18" spans="1:7" x14ac:dyDescent="0.3">
      <c r="A18" s="23"/>
      <c r="B18" s="23"/>
      <c r="C18" s="23"/>
      <c r="D18" s="23"/>
      <c r="E18" s="23"/>
      <c r="F18" s="23"/>
      <c r="G18" s="23"/>
    </row>
    <row r="19" spans="1:7" ht="16.2" thickBot="1" x14ac:dyDescent="0.35">
      <c r="A19" s="22"/>
      <c r="B19" s="22"/>
      <c r="C19" s="22"/>
      <c r="D19" s="22"/>
      <c r="E19" s="22"/>
      <c r="F19" s="22"/>
      <c r="G19" s="22"/>
    </row>
    <row r="20" spans="1:7" x14ac:dyDescent="0.3">
      <c r="A20" s="7">
        <v>44584</v>
      </c>
      <c r="B20" s="24">
        <v>44585</v>
      </c>
      <c r="C20" s="24">
        <v>44586</v>
      </c>
      <c r="D20" s="24">
        <v>44587</v>
      </c>
      <c r="E20" s="24">
        <v>44588</v>
      </c>
      <c r="F20" s="24">
        <v>44589</v>
      </c>
      <c r="G20" s="7">
        <v>44590</v>
      </c>
    </row>
    <row r="21" spans="1:7" x14ac:dyDescent="0.3">
      <c r="A21" s="23"/>
      <c r="B21" s="23"/>
      <c r="C21" s="23"/>
      <c r="D21" s="23"/>
      <c r="E21" s="23"/>
      <c r="F21" s="23"/>
      <c r="G21" s="23"/>
    </row>
    <row r="22" spans="1:7" x14ac:dyDescent="0.3">
      <c r="A22" s="23"/>
      <c r="B22" s="23"/>
      <c r="C22" s="23"/>
      <c r="D22" s="23"/>
      <c r="E22" s="23"/>
      <c r="F22" s="23"/>
      <c r="G22" s="23"/>
    </row>
    <row r="23" spans="1:7" ht="16.2" thickBot="1" x14ac:dyDescent="0.35">
      <c r="A23" s="22"/>
      <c r="B23" s="22"/>
      <c r="C23" s="22"/>
      <c r="D23" s="22"/>
      <c r="E23" s="22"/>
      <c r="F23" s="22"/>
      <c r="G23" s="22"/>
    </row>
    <row r="24" spans="1:7" x14ac:dyDescent="0.3">
      <c r="A24" s="7">
        <v>44591</v>
      </c>
      <c r="B24" s="24">
        <v>44592</v>
      </c>
      <c r="C24" s="25">
        <v>44593</v>
      </c>
      <c r="D24" s="25">
        <v>44594</v>
      </c>
      <c r="E24" s="25">
        <v>44595</v>
      </c>
      <c r="F24" s="25">
        <v>44596</v>
      </c>
      <c r="G24" s="10">
        <v>44597</v>
      </c>
    </row>
    <row r="25" spans="1:7" x14ac:dyDescent="0.3">
      <c r="A25" s="23"/>
      <c r="B25" s="23"/>
      <c r="C25" s="23"/>
      <c r="D25" s="23"/>
      <c r="E25" s="23"/>
      <c r="F25" s="23"/>
      <c r="G25" s="23"/>
    </row>
    <row r="26" spans="1:7" x14ac:dyDescent="0.3">
      <c r="A26" s="23"/>
      <c r="B26" s="23"/>
      <c r="C26" s="23"/>
      <c r="D26" s="23"/>
      <c r="E26" s="23"/>
      <c r="F26" s="23"/>
      <c r="G26" s="23"/>
    </row>
    <row r="27" spans="1:7" ht="16.2" thickBot="1" x14ac:dyDescent="0.35">
      <c r="A27" s="22"/>
      <c r="B27" s="22"/>
      <c r="C27" s="22"/>
      <c r="D27" s="22"/>
      <c r="E27" s="22"/>
      <c r="F27" s="22"/>
      <c r="G27" s="22"/>
    </row>
    <row r="28" spans="1:7" ht="16.2" thickBot="1" x14ac:dyDescent="0.35"/>
    <row r="29" spans="1:7" ht="21" thickBot="1" x14ac:dyDescent="0.35">
      <c r="A29" s="93" t="s">
        <v>24</v>
      </c>
      <c r="B29" s="94"/>
      <c r="C29" s="94"/>
      <c r="D29" s="94"/>
      <c r="E29" s="94"/>
      <c r="F29" s="94"/>
      <c r="G29" s="95"/>
    </row>
    <row r="30" spans="1:7" ht="18" thickBot="1" x14ac:dyDescent="0.35">
      <c r="A30" s="13" t="s">
        <v>13</v>
      </c>
      <c r="B30" s="12" t="s">
        <v>12</v>
      </c>
      <c r="C30" s="12" t="s">
        <v>11</v>
      </c>
      <c r="D30" s="12" t="s">
        <v>10</v>
      </c>
      <c r="E30" s="12" t="s">
        <v>9</v>
      </c>
      <c r="F30" s="12" t="s">
        <v>8</v>
      </c>
      <c r="G30" s="11" t="s">
        <v>7</v>
      </c>
    </row>
    <row r="31" spans="1:7" x14ac:dyDescent="0.3">
      <c r="A31" s="10">
        <v>44591</v>
      </c>
      <c r="B31" s="25">
        <v>44592</v>
      </c>
      <c r="C31" s="24">
        <v>44593</v>
      </c>
      <c r="D31" s="24">
        <v>44594</v>
      </c>
      <c r="E31" s="24">
        <v>44595</v>
      </c>
      <c r="F31" s="24">
        <v>44596</v>
      </c>
      <c r="G31" s="7">
        <v>44597</v>
      </c>
    </row>
    <row r="32" spans="1:7" x14ac:dyDescent="0.3">
      <c r="A32" s="23"/>
      <c r="B32" s="23"/>
      <c r="C32" s="23"/>
      <c r="D32" s="23"/>
      <c r="E32" s="23"/>
      <c r="F32" s="5"/>
      <c r="G32" s="23"/>
    </row>
    <row r="33" spans="1:7" x14ac:dyDescent="0.3">
      <c r="A33" s="23"/>
      <c r="B33" s="23"/>
      <c r="C33" s="23"/>
      <c r="D33" s="23"/>
      <c r="E33" s="23"/>
      <c r="F33" s="5"/>
      <c r="G33" s="23"/>
    </row>
    <row r="34" spans="1:7" ht="16.2" thickBot="1" x14ac:dyDescent="0.35">
      <c r="A34" s="22"/>
      <c r="B34" s="22"/>
      <c r="C34" s="22"/>
      <c r="D34" s="22"/>
      <c r="E34" s="22"/>
      <c r="F34" s="4"/>
      <c r="G34" s="22"/>
    </row>
    <row r="35" spans="1:7" x14ac:dyDescent="0.3">
      <c r="A35" s="7">
        <v>44598</v>
      </c>
      <c r="B35" s="8">
        <v>44599</v>
      </c>
      <c r="C35" s="8">
        <v>44600</v>
      </c>
      <c r="D35" s="8">
        <v>44601</v>
      </c>
      <c r="E35" s="8">
        <v>44602</v>
      </c>
      <c r="F35" s="8">
        <v>44603</v>
      </c>
      <c r="G35" s="7">
        <v>44604</v>
      </c>
    </row>
    <row r="36" spans="1:7" x14ac:dyDescent="0.3">
      <c r="A36" s="23"/>
      <c r="B36" s="23"/>
      <c r="C36" s="23"/>
      <c r="D36" s="23"/>
      <c r="E36" s="23"/>
      <c r="F36" s="5"/>
      <c r="G36" s="23"/>
    </row>
    <row r="37" spans="1:7" x14ac:dyDescent="0.3">
      <c r="A37" s="23"/>
      <c r="B37" s="23"/>
      <c r="C37" s="23"/>
      <c r="D37" s="23"/>
      <c r="E37" s="23"/>
      <c r="F37" s="5"/>
      <c r="G37" s="23"/>
    </row>
    <row r="38" spans="1:7" ht="16.2" thickBot="1" x14ac:dyDescent="0.35">
      <c r="A38" s="22"/>
      <c r="B38" s="22"/>
      <c r="C38" s="22"/>
      <c r="D38" s="22"/>
      <c r="E38" s="22"/>
      <c r="F38" s="4"/>
      <c r="G38" s="22"/>
    </row>
    <row r="39" spans="1:7" x14ac:dyDescent="0.3">
      <c r="A39" s="7">
        <v>44605</v>
      </c>
      <c r="B39" s="8">
        <v>44606</v>
      </c>
      <c r="C39" s="8">
        <v>44607</v>
      </c>
      <c r="D39" s="8">
        <v>44608</v>
      </c>
      <c r="E39" s="8">
        <v>44609</v>
      </c>
      <c r="F39" s="8">
        <v>44610</v>
      </c>
      <c r="G39" s="7">
        <v>44611</v>
      </c>
    </row>
    <row r="40" spans="1:7" x14ac:dyDescent="0.3">
      <c r="A40" s="23"/>
      <c r="B40" s="23"/>
      <c r="C40" s="23"/>
      <c r="D40" s="23"/>
      <c r="E40" s="23"/>
      <c r="F40" s="5"/>
      <c r="G40" s="23"/>
    </row>
    <row r="41" spans="1:7" x14ac:dyDescent="0.3">
      <c r="A41" s="23"/>
      <c r="B41" s="23"/>
      <c r="C41" s="23"/>
      <c r="D41" s="23"/>
      <c r="E41" s="23"/>
      <c r="F41" s="5"/>
      <c r="G41" s="23"/>
    </row>
    <row r="42" spans="1:7" ht="16.2" thickBot="1" x14ac:dyDescent="0.35">
      <c r="A42" s="22"/>
      <c r="B42" s="22"/>
      <c r="C42" s="22"/>
      <c r="D42" s="22"/>
      <c r="E42" s="22"/>
      <c r="F42" s="4"/>
      <c r="G42" s="22"/>
    </row>
    <row r="43" spans="1:7" x14ac:dyDescent="0.3">
      <c r="A43" s="7">
        <v>44612</v>
      </c>
      <c r="B43" s="8">
        <v>44613</v>
      </c>
      <c r="C43" s="8">
        <v>44614</v>
      </c>
      <c r="D43" s="8">
        <v>44615</v>
      </c>
      <c r="E43" s="8">
        <v>44616</v>
      </c>
      <c r="F43" s="8">
        <v>44617</v>
      </c>
      <c r="G43" s="7">
        <v>44618</v>
      </c>
    </row>
    <row r="44" spans="1:7" x14ac:dyDescent="0.3">
      <c r="A44" s="23"/>
      <c r="B44" s="23"/>
      <c r="C44" s="23"/>
      <c r="D44" s="23"/>
      <c r="E44" s="23"/>
      <c r="F44" s="5"/>
      <c r="G44" s="23"/>
    </row>
    <row r="45" spans="1:7" x14ac:dyDescent="0.3">
      <c r="A45" s="23"/>
      <c r="B45" s="23"/>
      <c r="C45" s="23"/>
      <c r="D45" s="23"/>
      <c r="E45" s="23"/>
      <c r="F45" s="5"/>
      <c r="G45" s="23"/>
    </row>
    <row r="46" spans="1:7" ht="16.2" thickBot="1" x14ac:dyDescent="0.35">
      <c r="A46" s="22"/>
      <c r="B46" s="22"/>
      <c r="C46" s="22"/>
      <c r="D46" s="22"/>
      <c r="E46" s="22"/>
      <c r="F46" s="4"/>
      <c r="G46" s="22"/>
    </row>
    <row r="47" spans="1:7" x14ac:dyDescent="0.3">
      <c r="A47" s="7">
        <v>44619</v>
      </c>
      <c r="B47" s="8">
        <v>44620</v>
      </c>
      <c r="C47" s="9">
        <v>44621</v>
      </c>
      <c r="D47" s="9">
        <v>44622</v>
      </c>
      <c r="E47" s="9">
        <v>44623</v>
      </c>
      <c r="F47" s="9">
        <v>44624</v>
      </c>
      <c r="G47" s="10">
        <v>44625</v>
      </c>
    </row>
    <row r="48" spans="1:7" x14ac:dyDescent="0.3">
      <c r="A48" s="23"/>
      <c r="B48" s="23"/>
      <c r="C48" s="23"/>
      <c r="D48" s="23"/>
      <c r="E48" s="23"/>
      <c r="F48" s="5"/>
      <c r="G48" s="23"/>
    </row>
    <row r="49" spans="1:7" x14ac:dyDescent="0.3">
      <c r="A49" s="23"/>
      <c r="B49" s="23"/>
      <c r="C49" s="23"/>
      <c r="D49" s="23"/>
      <c r="E49" s="23"/>
      <c r="F49" s="5"/>
      <c r="G49" s="23"/>
    </row>
    <row r="50" spans="1:7" ht="16.2" thickBot="1" x14ac:dyDescent="0.35">
      <c r="A50" s="22"/>
      <c r="B50" s="22"/>
      <c r="C50" s="22"/>
      <c r="D50" s="22"/>
      <c r="E50" s="22"/>
      <c r="F50" s="4"/>
      <c r="G50" s="22"/>
    </row>
    <row r="51" spans="1:7" ht="16.2" thickBot="1" x14ac:dyDescent="0.35"/>
    <row r="52" spans="1:7" ht="21" thickBot="1" x14ac:dyDescent="0.35">
      <c r="A52" s="96" t="s">
        <v>23</v>
      </c>
      <c r="B52" s="97"/>
      <c r="C52" s="97"/>
      <c r="D52" s="97"/>
      <c r="E52" s="97"/>
      <c r="F52" s="97"/>
      <c r="G52" s="98"/>
    </row>
    <row r="53" spans="1:7" ht="18" thickBot="1" x14ac:dyDescent="0.35">
      <c r="A53" s="13" t="s">
        <v>13</v>
      </c>
      <c r="B53" s="12" t="s">
        <v>12</v>
      </c>
      <c r="C53" s="12" t="s">
        <v>11</v>
      </c>
      <c r="D53" s="12" t="s">
        <v>10</v>
      </c>
      <c r="E53" s="12" t="s">
        <v>9</v>
      </c>
      <c r="F53" s="12" t="s">
        <v>8</v>
      </c>
      <c r="G53" s="11" t="s">
        <v>7</v>
      </c>
    </row>
    <row r="54" spans="1:7" x14ac:dyDescent="0.3">
      <c r="A54" s="10">
        <v>44619</v>
      </c>
      <c r="B54" s="9">
        <v>44620</v>
      </c>
      <c r="C54" s="8">
        <v>44621</v>
      </c>
      <c r="D54" s="8">
        <v>44622</v>
      </c>
      <c r="E54" s="8">
        <v>44623</v>
      </c>
      <c r="F54" s="8">
        <v>44624</v>
      </c>
      <c r="G54" s="7">
        <v>44625</v>
      </c>
    </row>
    <row r="55" spans="1:7" x14ac:dyDescent="0.3">
      <c r="A55" s="5"/>
      <c r="B55" s="5"/>
      <c r="C55" s="5"/>
      <c r="D55" s="5"/>
      <c r="E55" s="5"/>
      <c r="F55" s="5"/>
      <c r="G55" s="5"/>
    </row>
    <row r="56" spans="1:7" x14ac:dyDescent="0.3">
      <c r="A56" s="5"/>
      <c r="B56" s="5"/>
      <c r="C56" s="5"/>
      <c r="D56" s="5"/>
      <c r="E56" s="5"/>
      <c r="F56" s="5"/>
      <c r="G56" s="5"/>
    </row>
    <row r="57" spans="1:7" ht="16.2" thickBot="1" x14ac:dyDescent="0.35">
      <c r="A57" s="4"/>
      <c r="B57" s="4"/>
      <c r="C57" s="4"/>
      <c r="D57" s="4"/>
      <c r="E57" s="4"/>
      <c r="F57" s="4"/>
      <c r="G57" s="4"/>
    </row>
    <row r="58" spans="1:7" x14ac:dyDescent="0.3">
      <c r="A58" s="7">
        <v>44626</v>
      </c>
      <c r="B58" s="8">
        <v>44627</v>
      </c>
      <c r="C58" s="8">
        <v>44628</v>
      </c>
      <c r="D58" s="8">
        <v>44629</v>
      </c>
      <c r="E58" s="8">
        <v>44630</v>
      </c>
      <c r="F58" s="8">
        <v>44631</v>
      </c>
      <c r="G58" s="7">
        <v>44632</v>
      </c>
    </row>
    <row r="59" spans="1:7" x14ac:dyDescent="0.3">
      <c r="A59" s="5"/>
      <c r="B59" s="5"/>
      <c r="C59" s="5"/>
      <c r="D59" s="5"/>
      <c r="E59" s="5"/>
      <c r="F59" s="5"/>
      <c r="G59" s="5"/>
    </row>
    <row r="60" spans="1:7" x14ac:dyDescent="0.3">
      <c r="A60" s="5"/>
      <c r="B60" s="5"/>
      <c r="C60" s="5"/>
      <c r="D60" s="5"/>
      <c r="E60" s="5"/>
      <c r="F60" s="5"/>
      <c r="G60" s="5"/>
    </row>
    <row r="61" spans="1:7" ht="16.2" thickBot="1" x14ac:dyDescent="0.35">
      <c r="A61" s="4"/>
      <c r="B61" s="4"/>
      <c r="C61" s="4"/>
      <c r="D61" s="4"/>
      <c r="E61" s="4"/>
      <c r="F61" s="4"/>
      <c r="G61" s="4"/>
    </row>
    <row r="62" spans="1:7" x14ac:dyDescent="0.3">
      <c r="A62" s="7">
        <v>44633</v>
      </c>
      <c r="B62" s="8">
        <v>44634</v>
      </c>
      <c r="C62" s="8">
        <v>44635</v>
      </c>
      <c r="D62" s="8">
        <v>44636</v>
      </c>
      <c r="E62" s="8">
        <v>44637</v>
      </c>
      <c r="F62" s="8">
        <v>44638</v>
      </c>
      <c r="G62" s="7">
        <v>44639</v>
      </c>
    </row>
    <row r="63" spans="1:7" x14ac:dyDescent="0.3">
      <c r="A63" s="5"/>
      <c r="B63" s="5"/>
      <c r="C63" s="5"/>
      <c r="D63" s="5"/>
      <c r="E63" s="5"/>
      <c r="F63" s="5"/>
      <c r="G63" s="5"/>
    </row>
    <row r="64" spans="1:7" x14ac:dyDescent="0.3">
      <c r="A64" s="5"/>
      <c r="B64" s="5"/>
      <c r="C64" s="5"/>
      <c r="D64" s="5"/>
      <c r="E64" s="5"/>
      <c r="F64" s="5"/>
      <c r="G64" s="5"/>
    </row>
    <row r="65" spans="1:7" ht="16.2" thickBot="1" x14ac:dyDescent="0.35">
      <c r="A65" s="4"/>
      <c r="B65" s="4"/>
      <c r="C65" s="4"/>
      <c r="D65" s="4"/>
      <c r="E65" s="4"/>
      <c r="F65" s="4"/>
      <c r="G65" s="4"/>
    </row>
    <row r="66" spans="1:7" x14ac:dyDescent="0.3">
      <c r="A66" s="7">
        <v>44640</v>
      </c>
      <c r="B66" s="8">
        <v>44641</v>
      </c>
      <c r="C66" s="8">
        <v>44642</v>
      </c>
      <c r="D66" s="8">
        <v>44643</v>
      </c>
      <c r="E66" s="8">
        <v>44644</v>
      </c>
      <c r="F66" s="8">
        <v>44645</v>
      </c>
      <c r="G66" s="7">
        <v>44646</v>
      </c>
    </row>
    <row r="67" spans="1:7" x14ac:dyDescent="0.3">
      <c r="A67" s="5"/>
      <c r="B67" s="5"/>
      <c r="C67" s="5"/>
      <c r="D67" s="5"/>
      <c r="E67" s="5"/>
      <c r="F67" s="5"/>
      <c r="G67" s="5"/>
    </row>
    <row r="68" spans="1:7" x14ac:dyDescent="0.3">
      <c r="A68" s="5"/>
      <c r="B68" s="5"/>
      <c r="C68" s="5"/>
      <c r="D68" s="5"/>
      <c r="E68" s="5"/>
      <c r="F68" s="5"/>
      <c r="G68" s="5"/>
    </row>
    <row r="69" spans="1:7" ht="16.2" thickBot="1" x14ac:dyDescent="0.35">
      <c r="A69" s="4"/>
      <c r="B69" s="4"/>
      <c r="C69" s="4"/>
      <c r="D69" s="4"/>
      <c r="E69" s="4"/>
      <c r="F69" s="4"/>
      <c r="G69" s="4"/>
    </row>
    <row r="70" spans="1:7" x14ac:dyDescent="0.3">
      <c r="A70" s="7">
        <v>44647</v>
      </c>
      <c r="B70" s="8">
        <v>44648</v>
      </c>
      <c r="C70" s="8">
        <v>44649</v>
      </c>
      <c r="D70" s="8">
        <v>44650</v>
      </c>
      <c r="E70" s="8">
        <v>44651</v>
      </c>
      <c r="F70" s="9">
        <v>44652</v>
      </c>
      <c r="G70" s="10">
        <v>44653</v>
      </c>
    </row>
    <row r="71" spans="1:7" x14ac:dyDescent="0.3">
      <c r="A71" s="5"/>
      <c r="B71" s="5"/>
      <c r="C71" s="5"/>
      <c r="D71" s="5"/>
      <c r="E71" s="5"/>
      <c r="F71" s="5"/>
      <c r="G71" s="5"/>
    </row>
    <row r="72" spans="1:7" x14ac:dyDescent="0.3">
      <c r="A72" s="5"/>
      <c r="B72" s="5"/>
      <c r="C72" s="5"/>
      <c r="D72" s="5"/>
      <c r="E72" s="5"/>
      <c r="F72" s="5"/>
      <c r="G72" s="5"/>
    </row>
    <row r="73" spans="1:7" ht="16.2" thickBot="1" x14ac:dyDescent="0.35">
      <c r="A73" s="4"/>
      <c r="B73" s="4"/>
      <c r="C73" s="4"/>
      <c r="D73" s="4"/>
      <c r="E73" s="4"/>
      <c r="F73" s="4"/>
      <c r="G73" s="4"/>
    </row>
    <row r="74" spans="1:7" ht="16.2" thickBot="1" x14ac:dyDescent="0.35"/>
    <row r="75" spans="1:7" ht="21" thickBot="1" x14ac:dyDescent="0.35">
      <c r="A75" s="96" t="s">
        <v>22</v>
      </c>
      <c r="B75" s="97"/>
      <c r="C75" s="97"/>
      <c r="D75" s="97"/>
      <c r="E75" s="97"/>
      <c r="F75" s="97"/>
      <c r="G75" s="98"/>
    </row>
    <row r="76" spans="1:7" ht="18" thickBot="1" x14ac:dyDescent="0.35">
      <c r="A76" s="13" t="s">
        <v>13</v>
      </c>
      <c r="B76" s="12" t="s">
        <v>12</v>
      </c>
      <c r="C76" s="12" t="s">
        <v>11</v>
      </c>
      <c r="D76" s="12" t="s">
        <v>10</v>
      </c>
      <c r="E76" s="12" t="s">
        <v>9</v>
      </c>
      <c r="F76" s="12" t="s">
        <v>8</v>
      </c>
      <c r="G76" s="11" t="s">
        <v>7</v>
      </c>
    </row>
    <row r="77" spans="1:7" x14ac:dyDescent="0.3">
      <c r="A77" s="10">
        <v>44647</v>
      </c>
      <c r="B77" s="9">
        <v>44648</v>
      </c>
      <c r="C77" s="9">
        <v>44649</v>
      </c>
      <c r="D77" s="9">
        <v>44650</v>
      </c>
      <c r="E77" s="9">
        <v>44651</v>
      </c>
      <c r="F77" s="8">
        <v>44652</v>
      </c>
      <c r="G77" s="7">
        <v>44653</v>
      </c>
    </row>
    <row r="78" spans="1:7" x14ac:dyDescent="0.3">
      <c r="A78" s="5"/>
      <c r="B78" s="5"/>
      <c r="C78" s="5"/>
      <c r="D78" s="5"/>
      <c r="E78" s="5"/>
      <c r="F78" s="5"/>
      <c r="G78" s="5"/>
    </row>
    <row r="79" spans="1:7" x14ac:dyDescent="0.3">
      <c r="A79" s="5"/>
      <c r="B79" s="5"/>
      <c r="C79" s="5"/>
      <c r="D79" s="5"/>
      <c r="E79" s="5"/>
      <c r="F79" s="5"/>
      <c r="G79" s="5"/>
    </row>
    <row r="80" spans="1:7" ht="16.2" thickBot="1" x14ac:dyDescent="0.35">
      <c r="A80" s="4"/>
      <c r="B80" s="4"/>
      <c r="C80" s="4"/>
      <c r="D80" s="4"/>
      <c r="E80" s="4"/>
      <c r="F80" s="4"/>
      <c r="G80" s="4"/>
    </row>
    <row r="81" spans="1:7" x14ac:dyDescent="0.3">
      <c r="A81" s="7">
        <v>44654</v>
      </c>
      <c r="B81" s="8">
        <v>44655</v>
      </c>
      <c r="C81" s="8">
        <v>44656</v>
      </c>
      <c r="D81" s="8">
        <v>44657</v>
      </c>
      <c r="E81" s="8">
        <v>44658</v>
      </c>
      <c r="F81" s="8">
        <v>44659</v>
      </c>
      <c r="G81" s="7">
        <v>44660</v>
      </c>
    </row>
    <row r="82" spans="1:7" x14ac:dyDescent="0.3">
      <c r="A82" s="5"/>
      <c r="B82" s="5"/>
      <c r="C82" s="5"/>
      <c r="D82" s="5"/>
      <c r="E82" s="5"/>
      <c r="F82" s="5"/>
      <c r="G82" s="5"/>
    </row>
    <row r="83" spans="1:7" x14ac:dyDescent="0.3">
      <c r="A83" s="5"/>
      <c r="B83" s="5"/>
      <c r="C83" s="5"/>
      <c r="D83" s="5"/>
      <c r="E83" s="5"/>
      <c r="F83" s="5"/>
      <c r="G83" s="5"/>
    </row>
    <row r="84" spans="1:7" ht="16.2" thickBot="1" x14ac:dyDescent="0.35">
      <c r="A84" s="4"/>
      <c r="B84" s="4"/>
      <c r="C84" s="4"/>
      <c r="D84" s="4"/>
      <c r="E84" s="4"/>
      <c r="F84" s="4"/>
      <c r="G84" s="4"/>
    </row>
    <row r="85" spans="1:7" x14ac:dyDescent="0.3">
      <c r="A85" s="7">
        <v>44661</v>
      </c>
      <c r="B85" s="8">
        <v>44662</v>
      </c>
      <c r="C85" s="8">
        <v>44663</v>
      </c>
      <c r="D85" s="8">
        <v>44664</v>
      </c>
      <c r="E85" s="8">
        <v>44665</v>
      </c>
      <c r="F85" s="8">
        <v>44666</v>
      </c>
      <c r="G85" s="7">
        <v>44667</v>
      </c>
    </row>
    <row r="86" spans="1:7" x14ac:dyDescent="0.3">
      <c r="A86" s="5"/>
      <c r="B86" s="5"/>
      <c r="C86" s="5"/>
      <c r="D86" s="5"/>
      <c r="E86" s="5"/>
      <c r="F86" s="5"/>
      <c r="G86" s="5"/>
    </row>
    <row r="87" spans="1:7" x14ac:dyDescent="0.3">
      <c r="A87" s="5"/>
      <c r="B87" s="5"/>
      <c r="C87" s="5"/>
      <c r="D87" s="5"/>
      <c r="E87" s="5"/>
      <c r="F87" s="5"/>
      <c r="G87" s="5"/>
    </row>
    <row r="88" spans="1:7" ht="16.2" thickBot="1" x14ac:dyDescent="0.35">
      <c r="A88" s="4"/>
      <c r="B88" s="4"/>
      <c r="C88" s="4"/>
      <c r="D88" s="4"/>
      <c r="E88" s="4"/>
      <c r="F88" s="4"/>
      <c r="G88" s="4"/>
    </row>
    <row r="89" spans="1:7" x14ac:dyDescent="0.3">
      <c r="A89" s="7">
        <v>44668</v>
      </c>
      <c r="B89" s="8">
        <v>44669</v>
      </c>
      <c r="C89" s="8">
        <v>44670</v>
      </c>
      <c r="D89" s="8">
        <v>44671</v>
      </c>
      <c r="E89" s="8">
        <v>44672</v>
      </c>
      <c r="F89" s="8">
        <v>44673</v>
      </c>
      <c r="G89" s="7">
        <v>44674</v>
      </c>
    </row>
    <row r="90" spans="1:7" x14ac:dyDescent="0.3">
      <c r="A90" s="5"/>
      <c r="B90" s="5"/>
      <c r="C90" s="5"/>
      <c r="D90" s="5"/>
      <c r="E90" s="5"/>
      <c r="F90" s="5"/>
      <c r="G90" s="5"/>
    </row>
    <row r="91" spans="1:7" x14ac:dyDescent="0.3">
      <c r="A91" s="5"/>
      <c r="B91" s="5"/>
      <c r="C91" s="5"/>
      <c r="D91" s="5"/>
      <c r="E91" s="5"/>
      <c r="F91" s="5"/>
      <c r="G91" s="5"/>
    </row>
    <row r="92" spans="1:7" ht="16.2" thickBot="1" x14ac:dyDescent="0.35">
      <c r="A92" s="4"/>
      <c r="B92" s="4"/>
      <c r="C92" s="4"/>
      <c r="D92" s="4"/>
      <c r="E92" s="4"/>
      <c r="F92" s="4"/>
      <c r="G92" s="4"/>
    </row>
    <row r="93" spans="1:7" x14ac:dyDescent="0.3">
      <c r="A93" s="7">
        <v>44675</v>
      </c>
      <c r="B93" s="8">
        <v>44676</v>
      </c>
      <c r="C93" s="8">
        <v>44677</v>
      </c>
      <c r="D93" s="8">
        <v>44678</v>
      </c>
      <c r="E93" s="8">
        <v>44679</v>
      </c>
      <c r="F93" s="8">
        <v>44680</v>
      </c>
      <c r="G93" s="7">
        <v>44681</v>
      </c>
    </row>
    <row r="94" spans="1:7" x14ac:dyDescent="0.3">
      <c r="A94" s="5"/>
      <c r="B94" s="5"/>
      <c r="C94" s="5"/>
      <c r="D94" s="5"/>
      <c r="E94" s="5"/>
      <c r="F94" s="5"/>
      <c r="G94" s="5"/>
    </row>
    <row r="95" spans="1:7" x14ac:dyDescent="0.3">
      <c r="A95" s="5"/>
      <c r="B95" s="5"/>
      <c r="C95" s="5"/>
      <c r="D95" s="5"/>
      <c r="E95" s="5"/>
      <c r="F95" s="5"/>
      <c r="G95" s="5"/>
    </row>
    <row r="96" spans="1:7" ht="16.2" thickBot="1" x14ac:dyDescent="0.35">
      <c r="A96" s="4"/>
      <c r="B96" s="4"/>
      <c r="C96" s="4"/>
      <c r="D96" s="4"/>
      <c r="E96" s="4"/>
      <c r="F96" s="4"/>
      <c r="G96" s="4"/>
    </row>
    <row r="97" spans="1:7" ht="16.2" thickBot="1" x14ac:dyDescent="0.35"/>
    <row r="98" spans="1:7" ht="21" thickBot="1" x14ac:dyDescent="0.35">
      <c r="A98" s="96" t="s">
        <v>21</v>
      </c>
      <c r="B98" s="97"/>
      <c r="C98" s="97"/>
      <c r="D98" s="97"/>
      <c r="E98" s="97"/>
      <c r="F98" s="97"/>
      <c r="G98" s="98"/>
    </row>
    <row r="99" spans="1:7" ht="18" thickBot="1" x14ac:dyDescent="0.35">
      <c r="A99" s="13" t="s">
        <v>13</v>
      </c>
      <c r="B99" s="12" t="s">
        <v>12</v>
      </c>
      <c r="C99" s="12" t="s">
        <v>11</v>
      </c>
      <c r="D99" s="12" t="s">
        <v>10</v>
      </c>
      <c r="E99" s="12" t="s">
        <v>9</v>
      </c>
      <c r="F99" s="12" t="s">
        <v>8</v>
      </c>
      <c r="G99" s="11" t="s">
        <v>7</v>
      </c>
    </row>
    <row r="100" spans="1:7" x14ac:dyDescent="0.3">
      <c r="A100" s="20">
        <v>44682</v>
      </c>
      <c r="B100" s="21">
        <v>44683</v>
      </c>
      <c r="C100" s="21">
        <v>44684</v>
      </c>
      <c r="D100" s="21">
        <v>44685</v>
      </c>
      <c r="E100" s="21">
        <v>44686</v>
      </c>
      <c r="F100" s="21">
        <v>44687</v>
      </c>
      <c r="G100" s="20">
        <v>44688</v>
      </c>
    </row>
    <row r="101" spans="1:7" x14ac:dyDescent="0.3">
      <c r="A101" s="5"/>
      <c r="B101" s="5"/>
      <c r="C101" s="5"/>
      <c r="D101" s="5"/>
      <c r="E101" s="5"/>
      <c r="F101" s="5"/>
      <c r="G101" s="5"/>
    </row>
    <row r="102" spans="1:7" x14ac:dyDescent="0.3">
      <c r="A102" s="5"/>
      <c r="B102" s="5"/>
      <c r="C102" s="5"/>
      <c r="D102" s="5"/>
      <c r="E102" s="5"/>
      <c r="F102" s="5"/>
      <c r="G102" s="5"/>
    </row>
    <row r="103" spans="1:7" ht="16.2" thickBot="1" x14ac:dyDescent="0.35">
      <c r="A103" s="4"/>
      <c r="B103" s="4"/>
      <c r="C103" s="4"/>
      <c r="D103" s="4"/>
      <c r="E103" s="4"/>
      <c r="F103" s="4"/>
      <c r="G103" s="4"/>
    </row>
    <row r="104" spans="1:7" x14ac:dyDescent="0.3">
      <c r="A104" s="7">
        <v>44689</v>
      </c>
      <c r="B104" s="8">
        <v>44690</v>
      </c>
      <c r="C104" s="8">
        <v>44691</v>
      </c>
      <c r="D104" s="8">
        <v>44692</v>
      </c>
      <c r="E104" s="8">
        <v>44693</v>
      </c>
      <c r="F104" s="8">
        <v>44694</v>
      </c>
      <c r="G104" s="7">
        <v>44695</v>
      </c>
    </row>
    <row r="105" spans="1:7" x14ac:dyDescent="0.3">
      <c r="A105" s="5"/>
      <c r="B105" s="5"/>
      <c r="C105" s="5"/>
      <c r="D105" s="5"/>
      <c r="E105" s="5"/>
      <c r="F105" s="5"/>
      <c r="G105" s="5"/>
    </row>
    <row r="106" spans="1:7" x14ac:dyDescent="0.3">
      <c r="A106" s="5"/>
      <c r="B106" s="5"/>
      <c r="C106" s="5"/>
      <c r="D106" s="5"/>
      <c r="E106" s="5"/>
      <c r="F106" s="5"/>
      <c r="G106" s="5"/>
    </row>
    <row r="107" spans="1:7" ht="16.2" thickBot="1" x14ac:dyDescent="0.35">
      <c r="A107" s="4"/>
      <c r="B107" s="4"/>
      <c r="C107" s="4"/>
      <c r="D107" s="4"/>
      <c r="E107" s="4"/>
      <c r="F107" s="4"/>
      <c r="G107" s="4"/>
    </row>
    <row r="108" spans="1:7" x14ac:dyDescent="0.3">
      <c r="A108" s="7">
        <v>44696</v>
      </c>
      <c r="B108" s="8">
        <v>44697</v>
      </c>
      <c r="C108" s="8">
        <v>44698</v>
      </c>
      <c r="D108" s="8">
        <v>44699</v>
      </c>
      <c r="E108" s="8">
        <v>44700</v>
      </c>
      <c r="F108" s="8">
        <v>44701</v>
      </c>
      <c r="G108" s="7">
        <v>44702</v>
      </c>
    </row>
    <row r="109" spans="1:7" x14ac:dyDescent="0.3">
      <c r="A109" s="5"/>
      <c r="B109" s="5"/>
      <c r="C109" s="5"/>
      <c r="D109" s="5"/>
      <c r="E109" s="5"/>
      <c r="F109" s="5"/>
      <c r="G109" s="5"/>
    </row>
    <row r="110" spans="1:7" x14ac:dyDescent="0.3">
      <c r="A110" s="5"/>
      <c r="B110" s="5"/>
      <c r="C110" s="5"/>
      <c r="D110" s="5"/>
      <c r="E110" s="5"/>
      <c r="F110" s="5"/>
      <c r="G110" s="5"/>
    </row>
    <row r="111" spans="1:7" ht="16.2" thickBot="1" x14ac:dyDescent="0.35">
      <c r="A111" s="4"/>
      <c r="B111" s="4"/>
      <c r="C111" s="4"/>
      <c r="D111" s="4"/>
      <c r="E111" s="4"/>
      <c r="F111" s="4"/>
      <c r="G111" s="4"/>
    </row>
    <row r="112" spans="1:7" x14ac:dyDescent="0.3">
      <c r="A112" s="7">
        <v>44703</v>
      </c>
      <c r="B112" s="8">
        <v>44704</v>
      </c>
      <c r="C112" s="8">
        <v>44705</v>
      </c>
      <c r="D112" s="8">
        <v>44706</v>
      </c>
      <c r="E112" s="8">
        <v>44707</v>
      </c>
      <c r="F112" s="8">
        <v>44708</v>
      </c>
      <c r="G112" s="7">
        <v>44709</v>
      </c>
    </row>
    <row r="113" spans="1:7" x14ac:dyDescent="0.3">
      <c r="A113" s="5"/>
      <c r="B113" s="5"/>
      <c r="C113" s="5"/>
      <c r="D113" s="5"/>
      <c r="E113" s="5"/>
      <c r="F113" s="5"/>
      <c r="G113" s="5"/>
    </row>
    <row r="114" spans="1:7" x14ac:dyDescent="0.3">
      <c r="A114" s="5"/>
      <c r="B114" s="5"/>
      <c r="C114" s="5"/>
      <c r="D114" s="5"/>
      <c r="E114" s="5"/>
      <c r="F114" s="5"/>
      <c r="G114" s="5"/>
    </row>
    <row r="115" spans="1:7" ht="16.2" thickBot="1" x14ac:dyDescent="0.35">
      <c r="A115" s="4"/>
      <c r="B115" s="4"/>
      <c r="C115" s="4"/>
      <c r="D115" s="4"/>
      <c r="E115" s="4"/>
      <c r="F115" s="4"/>
      <c r="G115" s="4"/>
    </row>
    <row r="116" spans="1:7" x14ac:dyDescent="0.3">
      <c r="A116" s="7">
        <v>44710</v>
      </c>
      <c r="B116" s="8">
        <v>44711</v>
      </c>
      <c r="C116" s="8">
        <v>44712</v>
      </c>
      <c r="D116" s="9">
        <v>44713</v>
      </c>
      <c r="E116" s="9">
        <v>44714</v>
      </c>
      <c r="F116" s="9">
        <v>44715</v>
      </c>
      <c r="G116" s="10">
        <v>44716</v>
      </c>
    </row>
    <row r="117" spans="1:7" x14ac:dyDescent="0.3">
      <c r="A117" s="5"/>
      <c r="B117" s="5"/>
      <c r="C117" s="5"/>
      <c r="D117" s="5"/>
      <c r="E117" s="5"/>
      <c r="F117" s="5"/>
      <c r="G117" s="5"/>
    </row>
    <row r="118" spans="1:7" x14ac:dyDescent="0.3">
      <c r="A118" s="5"/>
      <c r="B118" s="5"/>
      <c r="C118" s="5"/>
      <c r="D118" s="5"/>
      <c r="E118" s="5"/>
      <c r="F118" s="5"/>
      <c r="G118" s="5"/>
    </row>
    <row r="119" spans="1:7" ht="16.2" thickBot="1" x14ac:dyDescent="0.35">
      <c r="A119" s="4"/>
      <c r="B119" s="4"/>
      <c r="C119" s="4"/>
      <c r="D119" s="4"/>
      <c r="E119" s="4"/>
      <c r="F119" s="4"/>
      <c r="G119" s="4"/>
    </row>
    <row r="120" spans="1:7" ht="16.2" thickBot="1" x14ac:dyDescent="0.35"/>
    <row r="121" spans="1:7" ht="21" thickBot="1" x14ac:dyDescent="0.35">
      <c r="A121" s="96" t="s">
        <v>20</v>
      </c>
      <c r="B121" s="97"/>
      <c r="C121" s="97"/>
      <c r="D121" s="97"/>
      <c r="E121" s="97"/>
      <c r="F121" s="97"/>
      <c r="G121" s="98"/>
    </row>
    <row r="122" spans="1:7" ht="18" thickBot="1" x14ac:dyDescent="0.35">
      <c r="A122" s="13" t="s">
        <v>13</v>
      </c>
      <c r="B122" s="12" t="s">
        <v>12</v>
      </c>
      <c r="C122" s="12" t="s">
        <v>11</v>
      </c>
      <c r="D122" s="12" t="s">
        <v>10</v>
      </c>
      <c r="E122" s="12" t="s">
        <v>9</v>
      </c>
      <c r="F122" s="12" t="s">
        <v>8</v>
      </c>
      <c r="G122" s="11" t="s">
        <v>7</v>
      </c>
    </row>
    <row r="123" spans="1:7" x14ac:dyDescent="0.3">
      <c r="A123" s="10">
        <v>44710</v>
      </c>
      <c r="B123" s="9">
        <v>44711</v>
      </c>
      <c r="C123" s="9">
        <v>44712</v>
      </c>
      <c r="D123" s="8">
        <v>44713</v>
      </c>
      <c r="E123" s="8">
        <v>44714</v>
      </c>
      <c r="F123" s="8">
        <v>44715</v>
      </c>
      <c r="G123" s="7">
        <v>44716</v>
      </c>
    </row>
    <row r="124" spans="1:7" x14ac:dyDescent="0.3">
      <c r="A124" s="5"/>
      <c r="B124" s="5"/>
      <c r="C124" s="5"/>
      <c r="D124" s="5"/>
      <c r="E124" s="5"/>
      <c r="F124" s="5"/>
      <c r="G124" s="5"/>
    </row>
    <row r="125" spans="1:7" x14ac:dyDescent="0.3">
      <c r="A125" s="5"/>
      <c r="B125" s="5"/>
      <c r="C125" s="5"/>
      <c r="D125" s="5"/>
      <c r="E125" s="5"/>
      <c r="F125" s="5"/>
      <c r="G125" s="5"/>
    </row>
    <row r="126" spans="1:7" ht="16.2" thickBot="1" x14ac:dyDescent="0.35">
      <c r="A126" s="4"/>
      <c r="B126" s="4"/>
      <c r="C126" s="4"/>
      <c r="D126" s="4"/>
      <c r="E126" s="4"/>
      <c r="F126" s="4"/>
      <c r="G126" s="4"/>
    </row>
    <row r="127" spans="1:7" x14ac:dyDescent="0.3">
      <c r="A127" s="7">
        <v>44717</v>
      </c>
      <c r="B127" s="8">
        <v>44718</v>
      </c>
      <c r="C127" s="8">
        <v>44719</v>
      </c>
      <c r="D127" s="8">
        <v>44720</v>
      </c>
      <c r="E127" s="8">
        <v>44721</v>
      </c>
      <c r="F127" s="8">
        <v>44722</v>
      </c>
      <c r="G127" s="7">
        <v>44723</v>
      </c>
    </row>
    <row r="128" spans="1:7" x14ac:dyDescent="0.3">
      <c r="A128" s="5"/>
      <c r="B128" s="5"/>
      <c r="C128" s="5"/>
      <c r="D128" s="5"/>
      <c r="E128" s="5"/>
      <c r="F128" s="5"/>
      <c r="G128" s="5"/>
    </row>
    <row r="129" spans="1:7" x14ac:dyDescent="0.3">
      <c r="A129" s="5"/>
      <c r="B129" s="5"/>
      <c r="C129" s="5"/>
      <c r="D129" s="5"/>
      <c r="E129" s="5"/>
      <c r="F129" s="5"/>
      <c r="G129" s="5"/>
    </row>
    <row r="130" spans="1:7" ht="16.2" thickBot="1" x14ac:dyDescent="0.35">
      <c r="A130" s="4"/>
      <c r="B130" s="4"/>
      <c r="C130" s="4"/>
      <c r="D130" s="4"/>
      <c r="E130" s="4"/>
      <c r="F130" s="4"/>
      <c r="G130" s="4"/>
    </row>
    <row r="131" spans="1:7" x14ac:dyDescent="0.3">
      <c r="A131" s="7">
        <v>44724</v>
      </c>
      <c r="B131" s="8">
        <v>44725</v>
      </c>
      <c r="C131" s="8">
        <v>44726</v>
      </c>
      <c r="D131" s="8">
        <v>44727</v>
      </c>
      <c r="E131" s="8">
        <v>44728</v>
      </c>
      <c r="F131" s="8">
        <v>44729</v>
      </c>
      <c r="G131" s="7">
        <v>44730</v>
      </c>
    </row>
    <row r="132" spans="1:7" x14ac:dyDescent="0.3">
      <c r="A132" s="5"/>
      <c r="B132" s="5"/>
      <c r="C132" s="5"/>
      <c r="D132" s="5"/>
      <c r="E132" s="5"/>
      <c r="F132" s="5"/>
      <c r="G132" s="5"/>
    </row>
    <row r="133" spans="1:7" x14ac:dyDescent="0.3">
      <c r="A133" s="5"/>
      <c r="B133" s="5"/>
      <c r="C133" s="5"/>
      <c r="D133" s="5"/>
      <c r="E133" s="5"/>
      <c r="F133" s="5"/>
      <c r="G133" s="5"/>
    </row>
    <row r="134" spans="1:7" ht="16.2" thickBot="1" x14ac:dyDescent="0.35">
      <c r="A134" s="4"/>
      <c r="B134" s="4"/>
      <c r="C134" s="4"/>
      <c r="D134" s="4"/>
      <c r="E134" s="4"/>
      <c r="F134" s="4"/>
      <c r="G134" s="4"/>
    </row>
    <row r="135" spans="1:7" x14ac:dyDescent="0.3">
      <c r="A135" s="7">
        <v>44731</v>
      </c>
      <c r="B135" s="8">
        <v>44732</v>
      </c>
      <c r="C135" s="8">
        <v>44733</v>
      </c>
      <c r="D135" s="8">
        <v>44734</v>
      </c>
      <c r="E135" s="8">
        <v>44735</v>
      </c>
      <c r="F135" s="8">
        <v>44736</v>
      </c>
      <c r="G135" s="7">
        <v>44737</v>
      </c>
    </row>
    <row r="136" spans="1:7" x14ac:dyDescent="0.3">
      <c r="A136" s="5"/>
      <c r="B136" s="5"/>
      <c r="C136" s="5"/>
      <c r="D136" s="5"/>
      <c r="E136" s="5"/>
      <c r="F136" s="5"/>
      <c r="G136" s="5"/>
    </row>
    <row r="137" spans="1:7" x14ac:dyDescent="0.3">
      <c r="A137" s="5"/>
      <c r="B137" s="5"/>
      <c r="C137" s="5"/>
      <c r="D137" s="5"/>
      <c r="E137" s="5"/>
      <c r="F137" s="5"/>
      <c r="G137" s="5"/>
    </row>
    <row r="138" spans="1:7" ht="16.2" thickBot="1" x14ac:dyDescent="0.35">
      <c r="A138" s="4"/>
      <c r="B138" s="4"/>
      <c r="C138" s="4"/>
      <c r="D138" s="4"/>
      <c r="E138" s="4"/>
      <c r="F138" s="4"/>
      <c r="G138" s="4"/>
    </row>
    <row r="139" spans="1:7" x14ac:dyDescent="0.3">
      <c r="A139" s="7">
        <v>44738</v>
      </c>
      <c r="B139" s="8">
        <v>44739</v>
      </c>
      <c r="C139" s="8">
        <v>44740</v>
      </c>
      <c r="D139" s="8">
        <v>44741</v>
      </c>
      <c r="E139" s="8">
        <v>44742</v>
      </c>
      <c r="F139" s="9">
        <v>44743</v>
      </c>
      <c r="G139" s="10">
        <v>44744</v>
      </c>
    </row>
    <row r="140" spans="1:7" x14ac:dyDescent="0.3">
      <c r="A140" s="5"/>
      <c r="B140" s="5"/>
      <c r="C140" s="5"/>
      <c r="D140" s="5"/>
      <c r="E140" s="5"/>
      <c r="F140" s="5"/>
      <c r="G140" s="5"/>
    </row>
    <row r="141" spans="1:7" x14ac:dyDescent="0.3">
      <c r="A141" s="5"/>
      <c r="B141" s="5"/>
      <c r="C141" s="5"/>
      <c r="D141" s="5"/>
      <c r="E141" s="5"/>
      <c r="F141" s="5"/>
      <c r="G141" s="5"/>
    </row>
    <row r="142" spans="1:7" ht="16.2" thickBot="1" x14ac:dyDescent="0.35">
      <c r="A142" s="4"/>
      <c r="B142" s="4"/>
      <c r="C142" s="4"/>
      <c r="D142" s="4"/>
      <c r="E142" s="4"/>
      <c r="F142" s="4"/>
      <c r="G142" s="4"/>
    </row>
    <row r="143" spans="1:7" ht="16.2" thickBot="1" x14ac:dyDescent="0.35"/>
    <row r="144" spans="1:7" ht="21" thickBot="1" x14ac:dyDescent="0.35">
      <c r="A144" s="96" t="s">
        <v>19</v>
      </c>
      <c r="B144" s="97"/>
      <c r="C144" s="97"/>
      <c r="D144" s="97"/>
      <c r="E144" s="97"/>
      <c r="F144" s="97"/>
      <c r="G144" s="98"/>
    </row>
    <row r="145" spans="1:7" ht="18" thickBot="1" x14ac:dyDescent="0.35">
      <c r="A145" s="13" t="s">
        <v>13</v>
      </c>
      <c r="B145" s="12" t="s">
        <v>12</v>
      </c>
      <c r="C145" s="12" t="s">
        <v>11</v>
      </c>
      <c r="D145" s="12" t="s">
        <v>10</v>
      </c>
      <c r="E145" s="12" t="s">
        <v>9</v>
      </c>
      <c r="F145" s="12" t="s">
        <v>8</v>
      </c>
      <c r="G145" s="11" t="s">
        <v>7</v>
      </c>
    </row>
    <row r="146" spans="1:7" x14ac:dyDescent="0.3">
      <c r="A146" s="10">
        <v>44738</v>
      </c>
      <c r="B146" s="9">
        <v>44739</v>
      </c>
      <c r="C146" s="9">
        <v>44740</v>
      </c>
      <c r="D146" s="9">
        <v>44741</v>
      </c>
      <c r="E146" s="9">
        <v>44742</v>
      </c>
      <c r="F146" s="8">
        <v>44743</v>
      </c>
      <c r="G146" s="7">
        <v>44744</v>
      </c>
    </row>
    <row r="147" spans="1:7" x14ac:dyDescent="0.3">
      <c r="A147" s="5"/>
      <c r="B147" s="5"/>
      <c r="C147" s="5"/>
      <c r="D147" s="5"/>
      <c r="E147" s="5"/>
      <c r="F147" s="5"/>
      <c r="G147" s="5"/>
    </row>
    <row r="148" spans="1:7" x14ac:dyDescent="0.3">
      <c r="A148" s="5"/>
      <c r="B148" s="5"/>
      <c r="C148" s="5"/>
      <c r="D148" s="5"/>
      <c r="E148" s="5"/>
      <c r="F148" s="5"/>
      <c r="G148" s="5"/>
    </row>
    <row r="149" spans="1:7" ht="16.2" thickBot="1" x14ac:dyDescent="0.35">
      <c r="A149" s="4"/>
      <c r="B149" s="4"/>
      <c r="C149" s="4"/>
      <c r="D149" s="4"/>
      <c r="E149" s="4"/>
      <c r="F149" s="4"/>
      <c r="G149" s="4"/>
    </row>
    <row r="150" spans="1:7" x14ac:dyDescent="0.3">
      <c r="A150" s="7">
        <v>44745</v>
      </c>
      <c r="B150" s="8">
        <v>44746</v>
      </c>
      <c r="C150" s="8">
        <v>44747</v>
      </c>
      <c r="D150" s="8">
        <v>44748</v>
      </c>
      <c r="E150" s="8">
        <v>44749</v>
      </c>
      <c r="F150" s="8">
        <v>44750</v>
      </c>
      <c r="G150" s="7">
        <v>44751</v>
      </c>
    </row>
    <row r="151" spans="1:7" x14ac:dyDescent="0.3">
      <c r="A151" s="5"/>
      <c r="B151" s="5"/>
      <c r="C151" s="5"/>
      <c r="D151" s="5"/>
      <c r="E151" s="5"/>
      <c r="F151" s="5"/>
      <c r="G151" s="5"/>
    </row>
    <row r="152" spans="1:7" x14ac:dyDescent="0.3">
      <c r="A152" s="5"/>
      <c r="B152" s="5"/>
      <c r="C152" s="5"/>
      <c r="D152" s="5"/>
      <c r="E152" s="5"/>
      <c r="F152" s="5"/>
      <c r="G152" s="5"/>
    </row>
    <row r="153" spans="1:7" ht="16.2" thickBot="1" x14ac:dyDescent="0.35">
      <c r="A153" s="4"/>
      <c r="B153" s="4"/>
      <c r="C153" s="4"/>
      <c r="D153" s="4"/>
      <c r="E153" s="4"/>
      <c r="F153" s="4"/>
      <c r="G153" s="4"/>
    </row>
    <row r="154" spans="1:7" x14ac:dyDescent="0.3">
      <c r="A154" s="7">
        <v>44752</v>
      </c>
      <c r="B154" s="8">
        <v>44753</v>
      </c>
      <c r="C154" s="8">
        <v>44754</v>
      </c>
      <c r="D154" s="8">
        <v>44755</v>
      </c>
      <c r="E154" s="8">
        <v>44756</v>
      </c>
      <c r="F154" s="8">
        <v>44757</v>
      </c>
      <c r="G154" s="7">
        <v>44758</v>
      </c>
    </row>
    <row r="155" spans="1:7" x14ac:dyDescent="0.3">
      <c r="A155" s="5"/>
      <c r="B155" s="5"/>
      <c r="C155" s="5"/>
      <c r="D155" s="5"/>
      <c r="E155" s="5"/>
      <c r="F155" s="5"/>
      <c r="G155" s="5"/>
    </row>
    <row r="156" spans="1:7" x14ac:dyDescent="0.3">
      <c r="A156" s="5"/>
      <c r="B156" s="5"/>
      <c r="C156" s="5"/>
      <c r="D156" s="5"/>
      <c r="E156" s="5"/>
      <c r="F156" s="5"/>
      <c r="G156" s="5"/>
    </row>
    <row r="157" spans="1:7" ht="16.2" thickBot="1" x14ac:dyDescent="0.35">
      <c r="A157" s="4"/>
      <c r="B157" s="4"/>
      <c r="C157" s="4"/>
      <c r="D157" s="4"/>
      <c r="E157" s="4"/>
      <c r="F157" s="4"/>
      <c r="G157" s="4"/>
    </row>
    <row r="158" spans="1:7" x14ac:dyDescent="0.3">
      <c r="A158" s="7">
        <v>44759</v>
      </c>
      <c r="B158" s="8">
        <v>44760</v>
      </c>
      <c r="C158" s="8">
        <v>44761</v>
      </c>
      <c r="D158" s="8">
        <v>44762</v>
      </c>
      <c r="E158" s="8">
        <v>44763</v>
      </c>
      <c r="F158" s="8">
        <v>44764</v>
      </c>
      <c r="G158" s="7">
        <v>44765</v>
      </c>
    </row>
    <row r="159" spans="1:7" x14ac:dyDescent="0.3">
      <c r="A159" s="5"/>
      <c r="B159" s="5"/>
      <c r="C159" s="5"/>
      <c r="D159" s="5"/>
      <c r="E159" s="5"/>
      <c r="F159" s="5"/>
      <c r="G159" s="5"/>
    </row>
    <row r="160" spans="1:7" x14ac:dyDescent="0.3">
      <c r="A160" s="5"/>
      <c r="B160" s="5"/>
      <c r="C160" s="5"/>
      <c r="D160" s="5"/>
      <c r="E160" s="5"/>
      <c r="F160" s="5"/>
      <c r="G160" s="5"/>
    </row>
    <row r="161" spans="1:7" ht="16.2" thickBot="1" x14ac:dyDescent="0.35">
      <c r="A161" s="4"/>
      <c r="B161" s="4"/>
      <c r="C161" s="4"/>
      <c r="D161" s="4"/>
      <c r="E161" s="4"/>
      <c r="F161" s="4"/>
      <c r="G161" s="4"/>
    </row>
    <row r="162" spans="1:7" x14ac:dyDescent="0.3">
      <c r="A162" s="7">
        <v>44766</v>
      </c>
      <c r="B162" s="8">
        <v>44767</v>
      </c>
      <c r="C162" s="8">
        <v>44768</v>
      </c>
      <c r="D162" s="8">
        <v>44769</v>
      </c>
      <c r="E162" s="8">
        <v>44770</v>
      </c>
      <c r="F162" s="8">
        <v>44771</v>
      </c>
      <c r="G162" s="7">
        <v>44772</v>
      </c>
    </row>
    <row r="163" spans="1:7" x14ac:dyDescent="0.3">
      <c r="A163" s="5"/>
      <c r="B163" s="5"/>
      <c r="C163" s="5"/>
      <c r="D163" s="5"/>
      <c r="E163" s="5"/>
      <c r="F163" s="5"/>
      <c r="G163" s="5"/>
    </row>
    <row r="164" spans="1:7" x14ac:dyDescent="0.3">
      <c r="A164" s="5"/>
      <c r="B164" s="5"/>
      <c r="C164" s="5"/>
      <c r="D164" s="5"/>
      <c r="E164" s="5"/>
      <c r="F164" s="5"/>
      <c r="G164" s="5"/>
    </row>
    <row r="165" spans="1:7" ht="16.2" thickBot="1" x14ac:dyDescent="0.35">
      <c r="A165" s="4"/>
      <c r="B165" s="4"/>
      <c r="C165" s="4"/>
      <c r="D165" s="4"/>
      <c r="E165" s="4"/>
      <c r="F165" s="4"/>
      <c r="G165" s="4"/>
    </row>
    <row r="166" spans="1:7" x14ac:dyDescent="0.3">
      <c r="A166" s="7">
        <v>44773</v>
      </c>
      <c r="B166" s="9">
        <v>44774</v>
      </c>
      <c r="C166" s="9">
        <v>44775</v>
      </c>
      <c r="D166" s="9">
        <v>44776</v>
      </c>
      <c r="E166" s="9">
        <v>44777</v>
      </c>
      <c r="F166" s="9">
        <v>44778</v>
      </c>
      <c r="G166" s="10">
        <v>44779</v>
      </c>
    </row>
    <row r="167" spans="1:7" x14ac:dyDescent="0.3">
      <c r="A167" s="18"/>
      <c r="B167" s="5"/>
      <c r="C167" s="5"/>
      <c r="D167" s="5"/>
      <c r="E167" s="5"/>
      <c r="F167" s="5"/>
      <c r="G167" s="18"/>
    </row>
    <row r="168" spans="1:7" x14ac:dyDescent="0.3">
      <c r="A168" s="18"/>
      <c r="B168" s="5"/>
      <c r="C168" s="5"/>
      <c r="D168" s="5"/>
      <c r="E168" s="5"/>
      <c r="F168" s="5"/>
      <c r="G168" s="18"/>
    </row>
    <row r="169" spans="1:7" ht="16.2" thickBot="1" x14ac:dyDescent="0.35">
      <c r="A169" s="16"/>
      <c r="B169" s="4"/>
      <c r="C169" s="4"/>
      <c r="D169" s="4"/>
      <c r="E169" s="4"/>
      <c r="F169" s="4"/>
      <c r="G169" s="16"/>
    </row>
    <row r="170" spans="1:7" ht="16.2" thickBot="1" x14ac:dyDescent="0.35"/>
    <row r="171" spans="1:7" ht="21" thickBot="1" x14ac:dyDescent="0.35">
      <c r="A171" s="96" t="s">
        <v>18</v>
      </c>
      <c r="B171" s="97"/>
      <c r="C171" s="97"/>
      <c r="D171" s="97"/>
      <c r="E171" s="97"/>
      <c r="F171" s="97"/>
      <c r="G171" s="98"/>
    </row>
    <row r="172" spans="1:7" ht="18" thickBot="1" x14ac:dyDescent="0.35">
      <c r="A172" s="13" t="s">
        <v>13</v>
      </c>
      <c r="B172" s="12" t="s">
        <v>12</v>
      </c>
      <c r="C172" s="12" t="s">
        <v>11</v>
      </c>
      <c r="D172" s="12" t="s">
        <v>10</v>
      </c>
      <c r="E172" s="12" t="s">
        <v>9</v>
      </c>
      <c r="F172" s="12" t="s">
        <v>8</v>
      </c>
      <c r="G172" s="11" t="s">
        <v>7</v>
      </c>
    </row>
    <row r="173" spans="1:7" x14ac:dyDescent="0.3">
      <c r="A173" s="10">
        <v>44773</v>
      </c>
      <c r="B173" s="8">
        <v>44774</v>
      </c>
      <c r="C173" s="8">
        <v>44775</v>
      </c>
      <c r="D173" s="8">
        <v>44776</v>
      </c>
      <c r="E173" s="8">
        <v>44777</v>
      </c>
      <c r="F173" s="8">
        <v>44778</v>
      </c>
      <c r="G173" s="7">
        <v>44779</v>
      </c>
    </row>
    <row r="174" spans="1:7" x14ac:dyDescent="0.3">
      <c r="A174" s="5"/>
      <c r="B174" s="5"/>
      <c r="C174" s="5"/>
      <c r="D174" s="5"/>
      <c r="E174" s="5"/>
      <c r="F174" s="5"/>
      <c r="G174" s="5"/>
    </row>
    <row r="175" spans="1:7" x14ac:dyDescent="0.3">
      <c r="A175" s="5"/>
      <c r="B175" s="5"/>
      <c r="C175" s="5"/>
      <c r="D175" s="5"/>
      <c r="E175" s="5"/>
      <c r="F175" s="5"/>
      <c r="G175" s="5"/>
    </row>
    <row r="176" spans="1:7" ht="16.2" thickBot="1" x14ac:dyDescent="0.35">
      <c r="A176" s="4"/>
      <c r="B176" s="4"/>
      <c r="C176" s="4"/>
      <c r="D176" s="4"/>
      <c r="E176" s="4"/>
      <c r="F176" s="4"/>
      <c r="G176" s="4"/>
    </row>
    <row r="177" spans="1:7" x14ac:dyDescent="0.3">
      <c r="A177" s="7">
        <v>44780</v>
      </c>
      <c r="B177" s="8">
        <v>44781</v>
      </c>
      <c r="C177" s="8">
        <v>44782</v>
      </c>
      <c r="D177" s="8">
        <v>44783</v>
      </c>
      <c r="E177" s="8">
        <v>44784</v>
      </c>
      <c r="F177" s="8">
        <v>44785</v>
      </c>
      <c r="G177" s="7">
        <v>44786</v>
      </c>
    </row>
    <row r="178" spans="1:7" x14ac:dyDescent="0.3">
      <c r="A178" s="5"/>
      <c r="B178" s="5"/>
      <c r="C178" s="5"/>
      <c r="D178" s="5"/>
      <c r="E178" s="5"/>
      <c r="F178" s="5"/>
      <c r="G178" s="5"/>
    </row>
    <row r="179" spans="1:7" x14ac:dyDescent="0.3">
      <c r="A179" s="5"/>
      <c r="B179" s="5"/>
      <c r="C179" s="5"/>
      <c r="D179" s="5"/>
      <c r="E179" s="5"/>
      <c r="F179" s="5"/>
      <c r="G179" s="5"/>
    </row>
    <row r="180" spans="1:7" ht="16.2" thickBot="1" x14ac:dyDescent="0.35">
      <c r="A180" s="4"/>
      <c r="B180" s="4"/>
      <c r="C180" s="4"/>
      <c r="D180" s="4"/>
      <c r="E180" s="4"/>
      <c r="F180" s="4"/>
      <c r="G180" s="4"/>
    </row>
    <row r="181" spans="1:7" x14ac:dyDescent="0.3">
      <c r="A181" s="7">
        <v>44787</v>
      </c>
      <c r="B181" s="8">
        <v>44788</v>
      </c>
      <c r="C181" s="8">
        <v>44789</v>
      </c>
      <c r="D181" s="8">
        <v>44790</v>
      </c>
      <c r="E181" s="8">
        <v>44791</v>
      </c>
      <c r="F181" s="8">
        <v>44792</v>
      </c>
      <c r="G181" s="7">
        <v>44793</v>
      </c>
    </row>
    <row r="182" spans="1:7" x14ac:dyDescent="0.3">
      <c r="A182" s="5"/>
      <c r="B182" s="5"/>
      <c r="C182" s="5"/>
      <c r="D182" s="5"/>
      <c r="E182" s="5"/>
      <c r="F182" s="5"/>
      <c r="G182" s="5"/>
    </row>
    <row r="183" spans="1:7" x14ac:dyDescent="0.3">
      <c r="A183" s="5"/>
      <c r="B183" s="5"/>
      <c r="C183" s="5"/>
      <c r="D183" s="5"/>
      <c r="E183" s="5"/>
      <c r="F183" s="5"/>
      <c r="G183" s="5"/>
    </row>
    <row r="184" spans="1:7" ht="16.2" thickBot="1" x14ac:dyDescent="0.35">
      <c r="A184" s="4"/>
      <c r="B184" s="4"/>
      <c r="C184" s="4"/>
      <c r="D184" s="4"/>
      <c r="E184" s="4"/>
      <c r="F184" s="4"/>
      <c r="G184" s="4"/>
    </row>
    <row r="185" spans="1:7" x14ac:dyDescent="0.3">
      <c r="A185" s="7">
        <v>44794</v>
      </c>
      <c r="B185" s="8">
        <v>44795</v>
      </c>
      <c r="C185" s="8">
        <v>44796</v>
      </c>
      <c r="D185" s="8">
        <v>44797</v>
      </c>
      <c r="E185" s="8">
        <v>44798</v>
      </c>
      <c r="F185" s="8">
        <v>44799</v>
      </c>
      <c r="G185" s="7">
        <v>44800</v>
      </c>
    </row>
    <row r="186" spans="1:7" x14ac:dyDescent="0.3">
      <c r="A186" s="5"/>
      <c r="B186" s="5"/>
      <c r="C186" s="5"/>
      <c r="D186" s="5"/>
      <c r="E186" s="5"/>
      <c r="F186" s="5"/>
      <c r="G186" s="5"/>
    </row>
    <row r="187" spans="1:7" x14ac:dyDescent="0.3">
      <c r="A187" s="5"/>
      <c r="B187" s="5"/>
      <c r="C187" s="5"/>
      <c r="D187" s="5"/>
      <c r="E187" s="5"/>
      <c r="F187" s="5"/>
      <c r="G187" s="5"/>
    </row>
    <row r="188" spans="1:7" ht="16.2" thickBot="1" x14ac:dyDescent="0.35">
      <c r="A188" s="4"/>
      <c r="B188" s="4"/>
      <c r="C188" s="4"/>
      <c r="D188" s="4"/>
      <c r="E188" s="4"/>
      <c r="F188" s="4"/>
      <c r="G188" s="4"/>
    </row>
    <row r="189" spans="1:7" x14ac:dyDescent="0.3">
      <c r="A189" s="7">
        <v>44801</v>
      </c>
      <c r="B189" s="8">
        <v>44802</v>
      </c>
      <c r="C189" s="8">
        <v>44803</v>
      </c>
      <c r="D189" s="8">
        <v>44804</v>
      </c>
      <c r="E189" s="9">
        <v>44805</v>
      </c>
      <c r="F189" s="9">
        <v>44806</v>
      </c>
      <c r="G189" s="10">
        <v>44807</v>
      </c>
    </row>
    <row r="190" spans="1:7" x14ac:dyDescent="0.3">
      <c r="A190" s="5"/>
      <c r="B190" s="5"/>
      <c r="C190" s="5"/>
      <c r="D190" s="5"/>
      <c r="E190" s="5"/>
      <c r="F190" s="5"/>
      <c r="G190" s="5"/>
    </row>
    <row r="191" spans="1:7" x14ac:dyDescent="0.3">
      <c r="A191" s="5"/>
      <c r="B191" s="5"/>
      <c r="C191" s="5"/>
      <c r="D191" s="5"/>
      <c r="E191" s="5"/>
      <c r="F191" s="5"/>
      <c r="G191" s="5"/>
    </row>
    <row r="192" spans="1:7" ht="16.2" thickBot="1" x14ac:dyDescent="0.35">
      <c r="A192" s="4"/>
      <c r="B192" s="4"/>
      <c r="C192" s="4"/>
      <c r="D192" s="4"/>
      <c r="E192" s="4"/>
      <c r="F192" s="4"/>
      <c r="G192" s="4"/>
    </row>
    <row r="193" spans="1:7" ht="16.2" thickBot="1" x14ac:dyDescent="0.35"/>
    <row r="194" spans="1:7" ht="21" thickBot="1" x14ac:dyDescent="0.35">
      <c r="A194" s="96" t="s">
        <v>17</v>
      </c>
      <c r="B194" s="97"/>
      <c r="C194" s="97"/>
      <c r="D194" s="97"/>
      <c r="E194" s="97"/>
      <c r="F194" s="97"/>
      <c r="G194" s="98"/>
    </row>
    <row r="195" spans="1:7" ht="18" thickBot="1" x14ac:dyDescent="0.35">
      <c r="A195" s="13" t="s">
        <v>13</v>
      </c>
      <c r="B195" s="12" t="s">
        <v>12</v>
      </c>
      <c r="C195" s="12" t="s">
        <v>11</v>
      </c>
      <c r="D195" s="12" t="s">
        <v>10</v>
      </c>
      <c r="E195" s="12" t="s">
        <v>9</v>
      </c>
      <c r="F195" s="12" t="s">
        <v>8</v>
      </c>
      <c r="G195" s="11" t="s">
        <v>7</v>
      </c>
    </row>
    <row r="196" spans="1:7" x14ac:dyDescent="0.3">
      <c r="A196" s="10">
        <v>44801</v>
      </c>
      <c r="B196" s="9">
        <v>44802</v>
      </c>
      <c r="C196" s="9">
        <v>44803</v>
      </c>
      <c r="D196" s="9">
        <v>44804</v>
      </c>
      <c r="E196" s="8">
        <v>44805</v>
      </c>
      <c r="F196" s="8">
        <v>44806</v>
      </c>
      <c r="G196" s="7">
        <v>44807</v>
      </c>
    </row>
    <row r="197" spans="1:7" x14ac:dyDescent="0.3">
      <c r="A197" s="5"/>
      <c r="B197" s="5"/>
      <c r="C197" s="5"/>
      <c r="D197" s="5"/>
      <c r="E197" s="5"/>
      <c r="F197" s="5"/>
      <c r="G197" s="5"/>
    </row>
    <row r="198" spans="1:7" x14ac:dyDescent="0.3">
      <c r="A198" s="5"/>
      <c r="B198" s="5"/>
      <c r="C198" s="5"/>
      <c r="D198" s="5"/>
      <c r="E198" s="5"/>
      <c r="F198" s="5"/>
      <c r="G198" s="5"/>
    </row>
    <row r="199" spans="1:7" ht="16.2" thickBot="1" x14ac:dyDescent="0.35">
      <c r="A199" s="4"/>
      <c r="B199" s="4"/>
      <c r="C199" s="4"/>
      <c r="D199" s="4"/>
      <c r="E199" s="4"/>
      <c r="F199" s="4"/>
      <c r="G199" s="4"/>
    </row>
    <row r="200" spans="1:7" x14ac:dyDescent="0.3">
      <c r="A200" s="7">
        <v>44808</v>
      </c>
      <c r="B200" s="8">
        <v>44809</v>
      </c>
      <c r="C200" s="8">
        <v>44810</v>
      </c>
      <c r="D200" s="8">
        <v>44811</v>
      </c>
      <c r="E200" s="8">
        <v>44812</v>
      </c>
      <c r="F200" s="8">
        <v>44813</v>
      </c>
      <c r="G200" s="7">
        <v>44814</v>
      </c>
    </row>
    <row r="201" spans="1:7" x14ac:dyDescent="0.3">
      <c r="A201" s="5"/>
      <c r="B201" s="5"/>
      <c r="C201" s="5"/>
      <c r="D201" s="5"/>
      <c r="E201" s="5"/>
      <c r="F201" s="5"/>
      <c r="G201" s="5"/>
    </row>
    <row r="202" spans="1:7" x14ac:dyDescent="0.3">
      <c r="A202" s="5"/>
      <c r="B202" s="5"/>
      <c r="C202" s="5"/>
      <c r="D202" s="5"/>
      <c r="E202" s="5"/>
      <c r="F202" s="5"/>
      <c r="G202" s="5"/>
    </row>
    <row r="203" spans="1:7" ht="16.2" thickBot="1" x14ac:dyDescent="0.35">
      <c r="A203" s="4"/>
      <c r="B203" s="4"/>
      <c r="C203" s="4"/>
      <c r="D203" s="4"/>
      <c r="E203" s="4"/>
      <c r="F203" s="4"/>
      <c r="G203" s="4"/>
    </row>
    <row r="204" spans="1:7" x14ac:dyDescent="0.3">
      <c r="A204" s="7">
        <v>44815</v>
      </c>
      <c r="B204" s="8">
        <v>44816</v>
      </c>
      <c r="C204" s="8">
        <v>44817</v>
      </c>
      <c r="D204" s="8">
        <v>44818</v>
      </c>
      <c r="E204" s="8">
        <v>44819</v>
      </c>
      <c r="F204" s="8">
        <v>44820</v>
      </c>
      <c r="G204" s="7">
        <v>44821</v>
      </c>
    </row>
    <row r="205" spans="1:7" x14ac:dyDescent="0.3">
      <c r="A205" s="5"/>
      <c r="B205" s="5"/>
      <c r="C205" s="5"/>
      <c r="D205" s="5"/>
      <c r="E205" s="5"/>
      <c r="F205" s="5"/>
      <c r="G205" s="5"/>
    </row>
    <row r="206" spans="1:7" x14ac:dyDescent="0.3">
      <c r="A206" s="5"/>
      <c r="B206" s="5"/>
      <c r="C206" s="5"/>
      <c r="D206" s="5"/>
      <c r="E206" s="5"/>
      <c r="F206" s="5"/>
      <c r="G206" s="5"/>
    </row>
    <row r="207" spans="1:7" ht="16.2" thickBot="1" x14ac:dyDescent="0.35">
      <c r="A207" s="4"/>
      <c r="B207" s="4"/>
      <c r="C207" s="4"/>
      <c r="D207" s="4"/>
      <c r="E207" s="4"/>
      <c r="F207" s="4"/>
      <c r="G207" s="4"/>
    </row>
    <row r="208" spans="1:7" x14ac:dyDescent="0.3">
      <c r="A208" s="7">
        <v>44822</v>
      </c>
      <c r="B208" s="8">
        <v>44823</v>
      </c>
      <c r="C208" s="8">
        <v>44824</v>
      </c>
      <c r="D208" s="8">
        <v>44825</v>
      </c>
      <c r="E208" s="8">
        <v>44826</v>
      </c>
      <c r="F208" s="8">
        <v>44827</v>
      </c>
      <c r="G208" s="7">
        <v>44828</v>
      </c>
    </row>
    <row r="209" spans="1:7" x14ac:dyDescent="0.3">
      <c r="A209" s="5"/>
      <c r="B209" s="5"/>
      <c r="C209" s="5"/>
      <c r="D209" s="5"/>
      <c r="E209" s="5"/>
      <c r="F209" s="5"/>
      <c r="G209" s="5"/>
    </row>
    <row r="210" spans="1:7" x14ac:dyDescent="0.3">
      <c r="A210" s="5"/>
      <c r="B210" s="5"/>
      <c r="C210" s="5"/>
      <c r="D210" s="5"/>
      <c r="E210" s="5"/>
      <c r="F210" s="5"/>
      <c r="G210" s="5"/>
    </row>
    <row r="211" spans="1:7" ht="16.2" thickBot="1" x14ac:dyDescent="0.35">
      <c r="A211" s="4"/>
      <c r="B211" s="4"/>
      <c r="C211" s="4"/>
      <c r="D211" s="4"/>
      <c r="E211" s="4"/>
      <c r="F211" s="4"/>
      <c r="G211" s="4"/>
    </row>
    <row r="212" spans="1:7" x14ac:dyDescent="0.3">
      <c r="A212" s="7">
        <v>44829</v>
      </c>
      <c r="B212" s="8">
        <v>44830</v>
      </c>
      <c r="C212" s="8">
        <v>44831</v>
      </c>
      <c r="D212" s="8">
        <v>44832</v>
      </c>
      <c r="E212" s="8">
        <v>44833</v>
      </c>
      <c r="F212" s="8">
        <v>44834</v>
      </c>
      <c r="G212" s="10">
        <v>44835</v>
      </c>
    </row>
    <row r="213" spans="1:7" x14ac:dyDescent="0.3">
      <c r="A213" s="5"/>
      <c r="B213" s="5"/>
      <c r="C213" s="5"/>
      <c r="D213" s="5"/>
      <c r="E213" s="5"/>
      <c r="F213" s="5"/>
      <c r="G213" s="5"/>
    </row>
    <row r="214" spans="1:7" x14ac:dyDescent="0.3">
      <c r="A214" s="5"/>
      <c r="B214" s="5"/>
      <c r="C214" s="5"/>
      <c r="D214" s="5"/>
      <c r="E214" s="5"/>
      <c r="F214" s="5"/>
      <c r="G214" s="5"/>
    </row>
    <row r="215" spans="1:7" ht="16.2" thickBot="1" x14ac:dyDescent="0.35">
      <c r="A215" s="4"/>
      <c r="B215" s="4"/>
      <c r="C215" s="4"/>
      <c r="D215" s="4"/>
      <c r="E215" s="4"/>
      <c r="F215" s="4"/>
      <c r="G215" s="4"/>
    </row>
    <row r="216" spans="1:7" ht="16.2" thickBot="1" x14ac:dyDescent="0.35"/>
    <row r="217" spans="1:7" ht="21" thickBot="1" x14ac:dyDescent="0.35">
      <c r="A217" s="96" t="s">
        <v>16</v>
      </c>
      <c r="B217" s="97"/>
      <c r="C217" s="97"/>
      <c r="D217" s="97"/>
      <c r="E217" s="97"/>
      <c r="F217" s="97"/>
      <c r="G217" s="98"/>
    </row>
    <row r="218" spans="1:7" ht="18" thickBot="1" x14ac:dyDescent="0.35">
      <c r="A218" s="13" t="s">
        <v>13</v>
      </c>
      <c r="B218" s="12" t="s">
        <v>12</v>
      </c>
      <c r="C218" s="12" t="s">
        <v>11</v>
      </c>
      <c r="D218" s="12" t="s">
        <v>10</v>
      </c>
      <c r="E218" s="12" t="s">
        <v>9</v>
      </c>
      <c r="F218" s="12" t="s">
        <v>8</v>
      </c>
      <c r="G218" s="11" t="s">
        <v>7</v>
      </c>
    </row>
    <row r="219" spans="1:7" x14ac:dyDescent="0.3">
      <c r="A219" s="10">
        <v>44829</v>
      </c>
      <c r="B219" s="9">
        <v>44830</v>
      </c>
      <c r="C219" s="9">
        <v>44831</v>
      </c>
      <c r="D219" s="9">
        <v>44832</v>
      </c>
      <c r="E219" s="9">
        <v>44833</v>
      </c>
      <c r="F219" s="9">
        <v>44834</v>
      </c>
      <c r="G219" s="7">
        <v>44835</v>
      </c>
    </row>
    <row r="220" spans="1:7" x14ac:dyDescent="0.3">
      <c r="A220" s="5"/>
      <c r="B220" s="5"/>
      <c r="C220" s="5"/>
      <c r="D220" s="5"/>
      <c r="E220" s="5"/>
      <c r="F220" s="5"/>
      <c r="G220" s="5"/>
    </row>
    <row r="221" spans="1:7" x14ac:dyDescent="0.3">
      <c r="A221" s="5"/>
      <c r="B221" s="5"/>
      <c r="C221" s="5"/>
      <c r="D221" s="5"/>
      <c r="E221" s="5"/>
      <c r="F221" s="5"/>
      <c r="G221" s="5"/>
    </row>
    <row r="222" spans="1:7" ht="16.2" thickBot="1" x14ac:dyDescent="0.35">
      <c r="A222" s="4"/>
      <c r="B222" s="4"/>
      <c r="C222" s="4"/>
      <c r="D222" s="4"/>
      <c r="E222" s="4"/>
      <c r="F222" s="4"/>
      <c r="G222" s="4"/>
    </row>
    <row r="223" spans="1:7" x14ac:dyDescent="0.3">
      <c r="A223" s="7">
        <v>44836</v>
      </c>
      <c r="B223" s="8">
        <v>44837</v>
      </c>
      <c r="C223" s="8">
        <v>44838</v>
      </c>
      <c r="D223" s="8">
        <v>44839</v>
      </c>
      <c r="E223" s="8">
        <v>44840</v>
      </c>
      <c r="F223" s="8">
        <v>44841</v>
      </c>
      <c r="G223" s="7">
        <v>44842</v>
      </c>
    </row>
    <row r="224" spans="1:7" x14ac:dyDescent="0.3">
      <c r="A224" s="5"/>
      <c r="B224" s="5"/>
      <c r="C224" s="5"/>
      <c r="D224" s="5"/>
      <c r="E224" s="5"/>
      <c r="F224" s="5"/>
      <c r="G224" s="5"/>
    </row>
    <row r="225" spans="1:7" x14ac:dyDescent="0.3">
      <c r="A225" s="5"/>
      <c r="B225" s="5"/>
      <c r="C225" s="5"/>
      <c r="D225" s="5"/>
      <c r="E225" s="5"/>
      <c r="F225" s="5"/>
      <c r="G225" s="5"/>
    </row>
    <row r="226" spans="1:7" ht="16.2" thickBot="1" x14ac:dyDescent="0.35">
      <c r="A226" s="4"/>
      <c r="B226" s="4"/>
      <c r="C226" s="4"/>
      <c r="D226" s="4"/>
      <c r="E226" s="4"/>
      <c r="F226" s="4"/>
      <c r="G226" s="4"/>
    </row>
    <row r="227" spans="1:7" x14ac:dyDescent="0.3">
      <c r="A227" s="7">
        <v>44843</v>
      </c>
      <c r="B227" s="8">
        <v>44844</v>
      </c>
      <c r="C227" s="8">
        <v>44845</v>
      </c>
      <c r="D227" s="8">
        <v>44846</v>
      </c>
      <c r="E227" s="8">
        <v>44847</v>
      </c>
      <c r="F227" s="8">
        <v>44848</v>
      </c>
      <c r="G227" s="7">
        <v>44849</v>
      </c>
    </row>
    <row r="228" spans="1:7" x14ac:dyDescent="0.3">
      <c r="A228" s="5"/>
      <c r="B228" s="5"/>
      <c r="C228" s="5"/>
      <c r="D228" s="5"/>
      <c r="E228" s="5"/>
      <c r="F228" s="5"/>
      <c r="G228" s="5"/>
    </row>
    <row r="229" spans="1:7" x14ac:dyDescent="0.3">
      <c r="A229" s="5"/>
      <c r="B229" s="5"/>
      <c r="C229" s="5"/>
      <c r="D229" s="5"/>
      <c r="E229" s="5"/>
      <c r="F229" s="5"/>
      <c r="G229" s="5"/>
    </row>
    <row r="230" spans="1:7" ht="16.2" thickBot="1" x14ac:dyDescent="0.35">
      <c r="A230" s="4"/>
      <c r="B230" s="4"/>
      <c r="C230" s="4"/>
      <c r="D230" s="4"/>
      <c r="E230" s="4"/>
      <c r="F230" s="4"/>
      <c r="G230" s="4"/>
    </row>
    <row r="231" spans="1:7" x14ac:dyDescent="0.3">
      <c r="A231" s="7">
        <v>44850</v>
      </c>
      <c r="B231" s="8">
        <v>44851</v>
      </c>
      <c r="C231" s="8">
        <v>44852</v>
      </c>
      <c r="D231" s="8">
        <v>44853</v>
      </c>
      <c r="E231" s="8">
        <v>44854</v>
      </c>
      <c r="F231" s="8">
        <v>44855</v>
      </c>
      <c r="G231" s="7">
        <v>44856</v>
      </c>
    </row>
    <row r="232" spans="1:7" x14ac:dyDescent="0.3">
      <c r="A232" s="5"/>
      <c r="B232" s="5"/>
      <c r="C232" s="5"/>
      <c r="D232" s="5"/>
      <c r="E232" s="5"/>
      <c r="F232" s="5"/>
      <c r="G232" s="5"/>
    </row>
    <row r="233" spans="1:7" x14ac:dyDescent="0.3">
      <c r="A233" s="5"/>
      <c r="B233" s="5"/>
      <c r="C233" s="5"/>
      <c r="D233" s="5"/>
      <c r="E233" s="5"/>
      <c r="F233" s="5"/>
      <c r="G233" s="5"/>
    </row>
    <row r="234" spans="1:7" ht="16.2" thickBot="1" x14ac:dyDescent="0.35">
      <c r="A234" s="4"/>
      <c r="B234" s="4"/>
      <c r="C234" s="4"/>
      <c r="D234" s="4"/>
      <c r="E234" s="4"/>
      <c r="F234" s="4"/>
      <c r="G234" s="4"/>
    </row>
    <row r="235" spans="1:7" x14ac:dyDescent="0.3">
      <c r="A235" s="7">
        <v>44857</v>
      </c>
      <c r="B235" s="8">
        <v>44858</v>
      </c>
      <c r="C235" s="8">
        <v>44859</v>
      </c>
      <c r="D235" s="8">
        <v>44860</v>
      </c>
      <c r="E235" s="8">
        <v>44861</v>
      </c>
      <c r="F235" s="8">
        <v>44862</v>
      </c>
      <c r="G235" s="7">
        <v>44863</v>
      </c>
    </row>
    <row r="236" spans="1:7" x14ac:dyDescent="0.3">
      <c r="A236" s="5"/>
      <c r="B236" s="5"/>
      <c r="C236" s="5"/>
      <c r="D236" s="5"/>
      <c r="E236" s="5"/>
      <c r="F236" s="5"/>
      <c r="G236" s="5"/>
    </row>
    <row r="237" spans="1:7" x14ac:dyDescent="0.3">
      <c r="A237" s="5"/>
      <c r="B237" s="5"/>
      <c r="C237" s="5"/>
      <c r="D237" s="5"/>
      <c r="E237" s="5"/>
      <c r="F237" s="5"/>
      <c r="G237" s="5"/>
    </row>
    <row r="238" spans="1:7" ht="16.2" thickBot="1" x14ac:dyDescent="0.35">
      <c r="A238" s="4"/>
      <c r="B238" s="4"/>
      <c r="C238" s="4"/>
      <c r="D238" s="4"/>
      <c r="E238" s="4"/>
      <c r="F238" s="4"/>
      <c r="G238" s="4"/>
    </row>
    <row r="239" spans="1:7" x14ac:dyDescent="0.3">
      <c r="A239" s="7">
        <v>44864</v>
      </c>
      <c r="B239" s="8">
        <v>44865</v>
      </c>
      <c r="C239" s="9">
        <v>44866</v>
      </c>
      <c r="D239" s="9">
        <v>44867</v>
      </c>
      <c r="E239" s="9">
        <v>44868</v>
      </c>
      <c r="F239" s="9">
        <v>44869</v>
      </c>
      <c r="G239" s="10">
        <v>44870</v>
      </c>
    </row>
    <row r="240" spans="1:7" x14ac:dyDescent="0.3">
      <c r="A240" s="18"/>
      <c r="B240" s="19"/>
      <c r="C240" s="19"/>
      <c r="D240" s="19"/>
      <c r="E240" s="19"/>
      <c r="F240" s="19"/>
      <c r="G240" s="18"/>
    </row>
    <row r="241" spans="1:7" x14ac:dyDescent="0.3">
      <c r="A241" s="18"/>
      <c r="B241" s="19"/>
      <c r="C241" s="19"/>
      <c r="D241" s="19"/>
      <c r="E241" s="19"/>
      <c r="F241" s="19"/>
      <c r="G241" s="18"/>
    </row>
    <row r="242" spans="1:7" ht="16.2" thickBot="1" x14ac:dyDescent="0.35">
      <c r="A242" s="16"/>
      <c r="B242" s="17"/>
      <c r="C242" s="17"/>
      <c r="D242" s="17"/>
      <c r="E242" s="17"/>
      <c r="F242" s="17"/>
      <c r="G242" s="16"/>
    </row>
    <row r="243" spans="1:7" ht="16.2" thickBot="1" x14ac:dyDescent="0.35"/>
    <row r="244" spans="1:7" ht="21" thickBot="1" x14ac:dyDescent="0.35">
      <c r="A244" s="96" t="s">
        <v>15</v>
      </c>
      <c r="B244" s="97"/>
      <c r="C244" s="97"/>
      <c r="D244" s="97"/>
      <c r="E244" s="97"/>
      <c r="F244" s="97"/>
      <c r="G244" s="98"/>
    </row>
    <row r="245" spans="1:7" ht="18" thickBot="1" x14ac:dyDescent="0.35">
      <c r="A245" s="13" t="s">
        <v>13</v>
      </c>
      <c r="B245" s="12" t="s">
        <v>12</v>
      </c>
      <c r="C245" s="12" t="s">
        <v>11</v>
      </c>
      <c r="D245" s="12" t="s">
        <v>10</v>
      </c>
      <c r="E245" s="12" t="s">
        <v>9</v>
      </c>
      <c r="F245" s="12" t="s">
        <v>8</v>
      </c>
      <c r="G245" s="11" t="s">
        <v>7</v>
      </c>
    </row>
    <row r="246" spans="1:7" x14ac:dyDescent="0.3">
      <c r="A246" s="10">
        <v>44864</v>
      </c>
      <c r="B246" s="9">
        <v>44865</v>
      </c>
      <c r="C246" s="8">
        <v>44866</v>
      </c>
      <c r="D246" s="8">
        <v>44867</v>
      </c>
      <c r="E246" s="8">
        <v>44868</v>
      </c>
      <c r="F246" s="8">
        <v>44869</v>
      </c>
      <c r="G246" s="7">
        <v>44870</v>
      </c>
    </row>
    <row r="247" spans="1:7" x14ac:dyDescent="0.3">
      <c r="A247" s="5"/>
      <c r="B247" s="5"/>
      <c r="C247" s="5"/>
      <c r="D247" s="5"/>
      <c r="E247" s="5"/>
      <c r="F247" s="5"/>
      <c r="G247" s="5"/>
    </row>
    <row r="248" spans="1:7" x14ac:dyDescent="0.3">
      <c r="A248" s="5"/>
      <c r="B248" s="5"/>
      <c r="C248" s="5"/>
      <c r="D248" s="5"/>
      <c r="E248" s="5"/>
      <c r="F248" s="5"/>
      <c r="G248" s="5"/>
    </row>
    <row r="249" spans="1:7" ht="16.2" thickBot="1" x14ac:dyDescent="0.35">
      <c r="A249" s="4"/>
      <c r="B249" s="4"/>
      <c r="C249" s="4"/>
      <c r="D249" s="4"/>
      <c r="E249" s="4"/>
      <c r="F249" s="4"/>
      <c r="G249" s="4"/>
    </row>
    <row r="250" spans="1:7" x14ac:dyDescent="0.3">
      <c r="A250" s="7">
        <v>44871</v>
      </c>
      <c r="B250" s="8">
        <v>44872</v>
      </c>
      <c r="C250" s="8">
        <v>44873</v>
      </c>
      <c r="D250" s="8">
        <v>44874</v>
      </c>
      <c r="E250" s="8">
        <v>44875</v>
      </c>
      <c r="F250" s="8">
        <v>44876</v>
      </c>
      <c r="G250" s="7">
        <v>44877</v>
      </c>
    </row>
    <row r="251" spans="1:7" x14ac:dyDescent="0.3">
      <c r="A251" s="5"/>
      <c r="B251" s="5"/>
      <c r="C251" s="5"/>
      <c r="D251" s="5"/>
      <c r="E251" s="5"/>
      <c r="F251" s="5"/>
      <c r="G251" s="5"/>
    </row>
    <row r="252" spans="1:7" x14ac:dyDescent="0.3">
      <c r="A252" s="5"/>
      <c r="B252" s="5"/>
      <c r="C252" s="5"/>
      <c r="D252" s="5"/>
      <c r="E252" s="5"/>
      <c r="F252" s="5"/>
      <c r="G252" s="5"/>
    </row>
    <row r="253" spans="1:7" ht="16.2" thickBot="1" x14ac:dyDescent="0.35">
      <c r="A253" s="4"/>
      <c r="B253" s="4"/>
      <c r="C253" s="4"/>
      <c r="D253" s="4"/>
      <c r="E253" s="4"/>
      <c r="F253" s="4"/>
      <c r="G253" s="4"/>
    </row>
    <row r="254" spans="1:7" x14ac:dyDescent="0.3">
      <c r="A254" s="7">
        <v>44878</v>
      </c>
      <c r="B254" s="8">
        <v>44879</v>
      </c>
      <c r="C254" s="8">
        <v>44880</v>
      </c>
      <c r="D254" s="8">
        <v>44881</v>
      </c>
      <c r="E254" s="8">
        <v>44882</v>
      </c>
      <c r="F254" s="8">
        <v>44883</v>
      </c>
      <c r="G254" s="7">
        <v>44884</v>
      </c>
    </row>
    <row r="255" spans="1:7" x14ac:dyDescent="0.3">
      <c r="A255" s="5"/>
      <c r="B255" s="5"/>
      <c r="C255" s="5"/>
      <c r="D255" s="5"/>
      <c r="E255" s="5"/>
      <c r="F255" s="5"/>
      <c r="G255" s="5"/>
    </row>
    <row r="256" spans="1:7" x14ac:dyDescent="0.3">
      <c r="A256" s="5"/>
      <c r="B256" s="5"/>
      <c r="C256" s="5"/>
      <c r="D256" s="5"/>
      <c r="E256" s="5"/>
      <c r="F256" s="5"/>
      <c r="G256" s="5"/>
    </row>
    <row r="257" spans="1:7" ht="16.2" thickBot="1" x14ac:dyDescent="0.35">
      <c r="A257" s="4"/>
      <c r="B257" s="4"/>
      <c r="C257" s="4"/>
      <c r="D257" s="4"/>
      <c r="E257" s="4"/>
      <c r="F257" s="4"/>
      <c r="G257" s="4"/>
    </row>
    <row r="258" spans="1:7" x14ac:dyDescent="0.3">
      <c r="A258" s="7">
        <v>44885</v>
      </c>
      <c r="B258" s="8">
        <v>44886</v>
      </c>
      <c r="C258" s="8">
        <v>44887</v>
      </c>
      <c r="D258" s="8">
        <v>44888</v>
      </c>
      <c r="E258" s="8">
        <v>44889</v>
      </c>
      <c r="F258" s="8">
        <v>44890</v>
      </c>
      <c r="G258" s="7">
        <v>44891</v>
      </c>
    </row>
    <row r="259" spans="1:7" x14ac:dyDescent="0.3">
      <c r="A259" s="5"/>
      <c r="B259" s="5"/>
      <c r="C259" s="5"/>
      <c r="D259" s="5"/>
      <c r="E259" s="5"/>
      <c r="F259" s="5"/>
      <c r="G259" s="5"/>
    </row>
    <row r="260" spans="1:7" x14ac:dyDescent="0.3">
      <c r="A260" s="5"/>
      <c r="B260" s="5"/>
      <c r="C260" s="5"/>
      <c r="D260" s="5"/>
      <c r="E260" s="5"/>
      <c r="F260" s="5"/>
      <c r="G260" s="5"/>
    </row>
    <row r="261" spans="1:7" ht="16.2" thickBot="1" x14ac:dyDescent="0.35">
      <c r="A261" s="4"/>
      <c r="B261" s="4"/>
      <c r="C261" s="4"/>
      <c r="D261" s="4"/>
      <c r="E261" s="4"/>
      <c r="F261" s="4"/>
      <c r="G261" s="4"/>
    </row>
    <row r="262" spans="1:7" x14ac:dyDescent="0.3">
      <c r="A262" s="7">
        <v>44892</v>
      </c>
      <c r="B262" s="8">
        <v>44893</v>
      </c>
      <c r="C262" s="8">
        <v>44894</v>
      </c>
      <c r="D262" s="8">
        <v>44895</v>
      </c>
      <c r="E262" s="9">
        <v>44896</v>
      </c>
      <c r="F262" s="9">
        <v>44897</v>
      </c>
      <c r="G262" s="10">
        <v>44898</v>
      </c>
    </row>
    <row r="263" spans="1:7" x14ac:dyDescent="0.3">
      <c r="A263" s="5"/>
      <c r="B263" s="5"/>
      <c r="C263" s="5"/>
      <c r="D263" s="5"/>
      <c r="E263" s="5"/>
      <c r="F263" s="5"/>
      <c r="G263" s="5"/>
    </row>
    <row r="264" spans="1:7" x14ac:dyDescent="0.3">
      <c r="A264" s="5"/>
      <c r="B264" s="5"/>
      <c r="C264" s="5"/>
      <c r="D264" s="5"/>
      <c r="E264" s="5"/>
      <c r="F264" s="5"/>
      <c r="G264" s="5"/>
    </row>
    <row r="265" spans="1:7" ht="16.2" thickBot="1" x14ac:dyDescent="0.35">
      <c r="A265" s="4"/>
      <c r="B265" s="4"/>
      <c r="C265" s="4"/>
      <c r="D265" s="4"/>
      <c r="E265" s="4"/>
      <c r="F265" s="4"/>
      <c r="G265" s="4"/>
    </row>
    <row r="266" spans="1:7" ht="15" customHeight="1" thickBot="1" x14ac:dyDescent="0.35">
      <c r="A266" s="14"/>
      <c r="B266" s="15"/>
      <c r="C266" s="15"/>
      <c r="D266" s="15"/>
      <c r="E266" s="15"/>
      <c r="F266" s="15"/>
      <c r="G266" s="14"/>
    </row>
    <row r="267" spans="1:7" ht="21" thickBot="1" x14ac:dyDescent="0.35">
      <c r="A267" s="99" t="s">
        <v>14</v>
      </c>
      <c r="B267" s="100"/>
      <c r="C267" s="100"/>
      <c r="D267" s="100"/>
      <c r="E267" s="100"/>
      <c r="F267" s="100"/>
      <c r="G267" s="101"/>
    </row>
    <row r="268" spans="1:7" ht="18" thickBot="1" x14ac:dyDescent="0.35">
      <c r="A268" s="13" t="s">
        <v>13</v>
      </c>
      <c r="B268" s="12" t="s">
        <v>12</v>
      </c>
      <c r="C268" s="12" t="s">
        <v>11</v>
      </c>
      <c r="D268" s="12" t="s">
        <v>10</v>
      </c>
      <c r="E268" s="12" t="s">
        <v>9</v>
      </c>
      <c r="F268" s="12" t="s">
        <v>8</v>
      </c>
      <c r="G268" s="11" t="s">
        <v>7</v>
      </c>
    </row>
    <row r="269" spans="1:7" x14ac:dyDescent="0.3">
      <c r="A269" s="10">
        <v>44892</v>
      </c>
      <c r="B269" s="9">
        <v>44893</v>
      </c>
      <c r="C269" s="9">
        <v>44894</v>
      </c>
      <c r="D269" s="9">
        <v>44895</v>
      </c>
      <c r="E269" s="8">
        <v>44896</v>
      </c>
      <c r="F269" s="8">
        <v>44897</v>
      </c>
      <c r="G269" s="7">
        <v>44898</v>
      </c>
    </row>
    <row r="270" spans="1:7" x14ac:dyDescent="0.3">
      <c r="A270" s="5"/>
      <c r="B270" s="5"/>
      <c r="C270" s="5"/>
      <c r="D270" s="5"/>
      <c r="E270" s="5"/>
      <c r="F270" s="5"/>
      <c r="G270" s="5"/>
    </row>
    <row r="271" spans="1:7" x14ac:dyDescent="0.3">
      <c r="A271" s="5"/>
      <c r="B271" s="5"/>
      <c r="C271" s="5"/>
      <c r="D271" s="5"/>
      <c r="E271" s="5"/>
      <c r="F271" s="5"/>
      <c r="G271" s="5"/>
    </row>
    <row r="272" spans="1:7" ht="16.2" thickBot="1" x14ac:dyDescent="0.35">
      <c r="A272" s="4"/>
      <c r="B272" s="4"/>
      <c r="C272" s="4"/>
      <c r="D272" s="4"/>
      <c r="E272" s="4"/>
      <c r="F272" s="4"/>
      <c r="G272" s="4"/>
    </row>
    <row r="273" spans="1:9" x14ac:dyDescent="0.3">
      <c r="A273" s="7">
        <v>44899</v>
      </c>
      <c r="B273" s="8">
        <v>44900</v>
      </c>
      <c r="C273" s="8">
        <v>44901</v>
      </c>
      <c r="D273" s="8">
        <v>44902</v>
      </c>
      <c r="E273" s="8">
        <v>44903</v>
      </c>
      <c r="F273" s="8">
        <v>44904</v>
      </c>
      <c r="G273" s="7">
        <v>44905</v>
      </c>
    </row>
    <row r="274" spans="1:9" x14ac:dyDescent="0.3">
      <c r="A274" s="5"/>
      <c r="B274" s="5"/>
      <c r="C274" s="5"/>
      <c r="D274" s="5"/>
      <c r="E274" s="5"/>
      <c r="F274" s="5"/>
      <c r="G274" s="5"/>
    </row>
    <row r="275" spans="1:9" x14ac:dyDescent="0.3">
      <c r="A275" s="5"/>
      <c r="B275" s="5"/>
      <c r="C275" s="5"/>
      <c r="D275" s="5"/>
      <c r="E275" s="5"/>
      <c r="F275" s="5"/>
      <c r="G275" s="5"/>
    </row>
    <row r="276" spans="1:9" ht="16.2" thickBot="1" x14ac:dyDescent="0.35">
      <c r="A276" s="4"/>
      <c r="B276" s="4"/>
      <c r="C276" s="4"/>
      <c r="D276" s="4"/>
      <c r="E276" s="4"/>
      <c r="F276" s="4"/>
      <c r="G276" s="4"/>
    </row>
    <row r="277" spans="1:9" x14ac:dyDescent="0.3">
      <c r="A277" s="7">
        <v>44906</v>
      </c>
      <c r="B277" s="8">
        <v>44907</v>
      </c>
      <c r="C277" s="8">
        <v>44908</v>
      </c>
      <c r="D277" s="8">
        <v>44909</v>
      </c>
      <c r="E277" s="8">
        <v>44910</v>
      </c>
      <c r="F277" s="8">
        <v>44911</v>
      </c>
      <c r="G277" s="7">
        <v>44912</v>
      </c>
    </row>
    <row r="278" spans="1:9" x14ac:dyDescent="0.3">
      <c r="A278" s="5"/>
      <c r="B278" s="5"/>
      <c r="C278" s="6" t="s">
        <v>6</v>
      </c>
      <c r="D278" s="6" t="s">
        <v>6</v>
      </c>
      <c r="E278" s="6" t="s">
        <v>6</v>
      </c>
      <c r="F278" s="6" t="s">
        <v>5</v>
      </c>
      <c r="G278" s="6" t="s">
        <v>4</v>
      </c>
    </row>
    <row r="279" spans="1:9" x14ac:dyDescent="0.3">
      <c r="A279" s="5"/>
      <c r="B279" s="5"/>
      <c r="C279" s="5" t="s">
        <v>3</v>
      </c>
      <c r="D279" s="5"/>
      <c r="E279" s="5"/>
      <c r="F279" s="5" t="s">
        <v>3</v>
      </c>
      <c r="G279" s="5"/>
    </row>
    <row r="280" spans="1:9" ht="16.2" thickBot="1" x14ac:dyDescent="0.35">
      <c r="A280" s="4"/>
      <c r="B280" s="4"/>
      <c r="C280" s="3">
        <v>10000</v>
      </c>
      <c r="D280" s="3">
        <v>12000</v>
      </c>
      <c r="E280" s="3">
        <v>10000</v>
      </c>
      <c r="F280" s="3">
        <v>12000</v>
      </c>
      <c r="G280" s="3">
        <v>12000</v>
      </c>
      <c r="H280" s="2">
        <f>SUM(A280:G280)</f>
        <v>56000</v>
      </c>
    </row>
    <row r="281" spans="1:9" x14ac:dyDescent="0.3">
      <c r="A281" s="7">
        <v>44913</v>
      </c>
      <c r="B281" s="8">
        <v>44914</v>
      </c>
      <c r="C281" s="8">
        <v>44915</v>
      </c>
      <c r="D281" s="8">
        <v>44916</v>
      </c>
      <c r="E281" s="8">
        <v>44917</v>
      </c>
      <c r="F281" s="8">
        <v>44918</v>
      </c>
      <c r="G281" s="7">
        <v>44919</v>
      </c>
    </row>
    <row r="282" spans="1:9" x14ac:dyDescent="0.3">
      <c r="A282" s="5"/>
      <c r="B282" s="5"/>
      <c r="C282" s="5"/>
      <c r="D282" s="5"/>
      <c r="E282" s="5"/>
      <c r="F282" s="5"/>
      <c r="G282" s="5"/>
    </row>
    <row r="283" spans="1:9" x14ac:dyDescent="0.3">
      <c r="A283" s="5"/>
      <c r="B283" s="5"/>
      <c r="C283" s="5"/>
      <c r="D283" s="5"/>
      <c r="E283" s="5"/>
      <c r="F283" s="5"/>
      <c r="G283" s="5"/>
    </row>
    <row r="284" spans="1:9" ht="16.2" thickBot="1" x14ac:dyDescent="0.35">
      <c r="A284" s="4"/>
      <c r="B284" s="4"/>
      <c r="C284" s="4"/>
      <c r="D284" s="4"/>
      <c r="E284" s="4"/>
      <c r="F284" s="4"/>
      <c r="G284" s="4"/>
    </row>
    <row r="285" spans="1:9" x14ac:dyDescent="0.3">
      <c r="A285" s="7">
        <v>44920</v>
      </c>
      <c r="B285" s="8">
        <v>44921</v>
      </c>
      <c r="C285" s="8">
        <v>44922</v>
      </c>
      <c r="D285" s="8">
        <v>44923</v>
      </c>
      <c r="E285" s="8">
        <v>44924</v>
      </c>
      <c r="F285" s="8">
        <v>44925</v>
      </c>
      <c r="G285" s="7">
        <v>44926</v>
      </c>
    </row>
    <row r="286" spans="1:9" x14ac:dyDescent="0.3">
      <c r="A286" s="5"/>
      <c r="B286" s="5"/>
      <c r="C286" s="5"/>
      <c r="D286" s="5"/>
      <c r="E286" s="5"/>
      <c r="F286" s="6" t="s">
        <v>2</v>
      </c>
      <c r="G286" s="6" t="s">
        <v>1</v>
      </c>
    </row>
    <row r="287" spans="1:9" x14ac:dyDescent="0.3">
      <c r="A287" s="5"/>
      <c r="B287" s="5"/>
      <c r="C287" s="5"/>
      <c r="D287" s="5"/>
      <c r="E287" s="5"/>
      <c r="F287" s="5" t="s">
        <v>0</v>
      </c>
      <c r="G287" s="5"/>
    </row>
    <row r="288" spans="1:9" ht="16.2" thickBot="1" x14ac:dyDescent="0.35">
      <c r="A288" s="4"/>
      <c r="B288" s="4"/>
      <c r="C288" s="4"/>
      <c r="D288" s="4"/>
      <c r="E288" s="4"/>
      <c r="F288" s="3">
        <v>7500</v>
      </c>
      <c r="G288" s="3">
        <v>7500</v>
      </c>
      <c r="H288" s="2">
        <f>SUM(A288:G288)</f>
        <v>15000</v>
      </c>
      <c r="I288" s="1">
        <f>SUM(H280,H288)</f>
        <v>71000</v>
      </c>
    </row>
  </sheetData>
  <mergeCells count="12">
    <mergeCell ref="A267:G267"/>
    <mergeCell ref="A121:G121"/>
    <mergeCell ref="A144:G144"/>
    <mergeCell ref="A171:G171"/>
    <mergeCell ref="A194:G194"/>
    <mergeCell ref="A217:G217"/>
    <mergeCell ref="A244:G244"/>
    <mergeCell ref="A2:G2"/>
    <mergeCell ref="A29:G29"/>
    <mergeCell ref="A52:G52"/>
    <mergeCell ref="A75:G75"/>
    <mergeCell ref="A98:G98"/>
  </mergeCells>
  <conditionalFormatting sqref="F273">
    <cfRule type="expression" dxfId="5" priority="2">
      <formula>fecha=hoy</formula>
    </cfRule>
  </conditionalFormatting>
  <conditionalFormatting sqref="A4:G288">
    <cfRule type="expression" dxfId="4" priority="1">
      <formula>A4=TODAY()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D3D77-FAED-493B-B0CB-C347112EBB59}">
  <sheetPr codeName="Hoja2"/>
  <dimension ref="A1:I290"/>
  <sheetViews>
    <sheetView showGridLines="0" topLeftCell="A88" zoomScale="99" zoomScaleNormal="99" workbookViewId="0">
      <selection activeCell="A108" sqref="A108"/>
    </sheetView>
  </sheetViews>
  <sheetFormatPr baseColWidth="10" defaultRowHeight="15.6" x14ac:dyDescent="0.3"/>
  <cols>
    <col min="1" max="7" width="22.19921875" customWidth="1"/>
    <col min="8" max="8" width="11.796875" style="27" bestFit="1" customWidth="1"/>
    <col min="9" max="9" width="12.796875" style="27" bestFit="1" customWidth="1"/>
    <col min="10" max="10" width="12.796875" bestFit="1" customWidth="1"/>
  </cols>
  <sheetData>
    <row r="1" spans="1:9" ht="21" thickBot="1" x14ac:dyDescent="0.35">
      <c r="A1" s="99" t="s">
        <v>25</v>
      </c>
      <c r="B1" s="100"/>
      <c r="C1" s="100"/>
      <c r="D1" s="100"/>
      <c r="E1" s="100"/>
      <c r="F1" s="100"/>
      <c r="G1" s="101"/>
    </row>
    <row r="2" spans="1:9" ht="35.4" thickBot="1" x14ac:dyDescent="0.35">
      <c r="A2" s="13" t="s">
        <v>13</v>
      </c>
      <c r="B2" s="12" t="s">
        <v>12</v>
      </c>
      <c r="C2" s="12" t="s">
        <v>11</v>
      </c>
      <c r="D2" s="12" t="s">
        <v>10</v>
      </c>
      <c r="E2" s="12" t="s">
        <v>9</v>
      </c>
      <c r="F2" s="12" t="s">
        <v>8</v>
      </c>
      <c r="G2" s="11" t="s">
        <v>7</v>
      </c>
      <c r="H2" s="41" t="s">
        <v>31</v>
      </c>
      <c r="I2" s="41" t="s">
        <v>30</v>
      </c>
    </row>
    <row r="3" spans="1:9" x14ac:dyDescent="0.3">
      <c r="A3" s="7">
        <v>44927</v>
      </c>
      <c r="B3" s="8">
        <v>44928</v>
      </c>
      <c r="C3" s="8">
        <v>44929</v>
      </c>
      <c r="D3" s="8">
        <v>44930</v>
      </c>
      <c r="E3" s="8">
        <v>44931</v>
      </c>
      <c r="F3" s="8">
        <v>44932</v>
      </c>
      <c r="G3" s="7">
        <v>44933</v>
      </c>
    </row>
    <row r="4" spans="1:9" x14ac:dyDescent="0.3">
      <c r="A4" s="6" t="s">
        <v>2</v>
      </c>
      <c r="B4" s="6" t="s">
        <v>2</v>
      </c>
      <c r="C4" s="6" t="s">
        <v>2</v>
      </c>
      <c r="D4" s="6" t="s">
        <v>2</v>
      </c>
      <c r="E4" s="6" t="s">
        <v>2</v>
      </c>
      <c r="F4" s="6" t="s">
        <v>2</v>
      </c>
      <c r="G4" s="6" t="s">
        <v>2</v>
      </c>
    </row>
    <row r="5" spans="1:9" ht="16.2" thickBot="1" x14ac:dyDescent="0.35">
      <c r="A5" s="23"/>
      <c r="B5" s="5"/>
      <c r="C5" s="5"/>
      <c r="D5" s="5"/>
      <c r="E5" s="5"/>
      <c r="F5" s="5"/>
      <c r="G5" s="23"/>
    </row>
    <row r="6" spans="1:9" ht="16.2" thickBot="1" x14ac:dyDescent="0.35">
      <c r="A6" s="39">
        <v>7500</v>
      </c>
      <c r="B6" s="39">
        <v>7500</v>
      </c>
      <c r="C6" s="39">
        <v>7500</v>
      </c>
      <c r="D6" s="39">
        <v>7500</v>
      </c>
      <c r="E6" s="39">
        <v>7500</v>
      </c>
      <c r="F6" s="39">
        <v>7500</v>
      </c>
      <c r="G6" s="39">
        <v>7500</v>
      </c>
      <c r="H6" s="32">
        <f>SUM(A6:G6)</f>
        <v>52500</v>
      </c>
    </row>
    <row r="7" spans="1:9" x14ac:dyDescent="0.3">
      <c r="A7" s="7">
        <v>44934</v>
      </c>
      <c r="B7" s="8">
        <v>44935</v>
      </c>
      <c r="C7" s="8">
        <v>44936</v>
      </c>
      <c r="D7" s="8">
        <v>44937</v>
      </c>
      <c r="E7" s="8">
        <v>44938</v>
      </c>
      <c r="F7" s="8">
        <v>44939</v>
      </c>
      <c r="G7" s="7">
        <v>44940</v>
      </c>
    </row>
    <row r="8" spans="1:9" x14ac:dyDescent="0.3">
      <c r="A8" s="40" t="s">
        <v>29</v>
      </c>
      <c r="B8" s="40" t="s">
        <v>29</v>
      </c>
      <c r="C8" s="40" t="s">
        <v>29</v>
      </c>
      <c r="D8" s="40" t="s">
        <v>29</v>
      </c>
      <c r="E8" s="40" t="s">
        <v>29</v>
      </c>
      <c r="F8" s="40" t="s">
        <v>29</v>
      </c>
      <c r="G8" s="40" t="s">
        <v>29</v>
      </c>
    </row>
    <row r="9" spans="1:9" ht="16.2" thickBot="1" x14ac:dyDescent="0.35">
      <c r="A9" s="23" t="s">
        <v>28</v>
      </c>
      <c r="B9" s="5"/>
      <c r="C9" s="5"/>
      <c r="D9" s="5"/>
      <c r="E9" s="5"/>
      <c r="F9" s="5"/>
      <c r="G9" s="23"/>
    </row>
    <row r="10" spans="1:9" ht="16.2" thickBot="1" x14ac:dyDescent="0.35">
      <c r="A10" s="39">
        <v>10000</v>
      </c>
      <c r="B10" s="39">
        <v>10000</v>
      </c>
      <c r="C10" s="39">
        <v>10000</v>
      </c>
      <c r="D10" s="39">
        <v>10000</v>
      </c>
      <c r="E10" s="39">
        <v>10000</v>
      </c>
      <c r="F10" s="39">
        <v>10000</v>
      </c>
      <c r="G10" s="39">
        <v>10000</v>
      </c>
      <c r="H10" s="32">
        <f>SUM(A10:G10)</f>
        <v>70000</v>
      </c>
    </row>
    <row r="11" spans="1:9" x14ac:dyDescent="0.3">
      <c r="A11" s="7">
        <v>44941</v>
      </c>
      <c r="B11" s="8">
        <v>44942</v>
      </c>
      <c r="C11" s="8">
        <v>44943</v>
      </c>
      <c r="D11" s="8">
        <v>44944</v>
      </c>
      <c r="E11" s="8">
        <v>44945</v>
      </c>
      <c r="F11" s="8">
        <v>44946</v>
      </c>
      <c r="G11" s="7">
        <v>44947</v>
      </c>
    </row>
    <row r="12" spans="1:9" x14ac:dyDescent="0.3">
      <c r="A12" s="40" t="s">
        <v>27</v>
      </c>
      <c r="B12" s="40" t="s">
        <v>27</v>
      </c>
      <c r="C12" s="40" t="s">
        <v>27</v>
      </c>
      <c r="D12" s="5"/>
      <c r="E12" s="5"/>
      <c r="F12" s="5"/>
      <c r="G12" s="5"/>
    </row>
    <row r="13" spans="1:9" ht="16.2" thickBot="1" x14ac:dyDescent="0.35">
      <c r="A13" s="23" t="s">
        <v>32</v>
      </c>
      <c r="B13" s="5"/>
      <c r="C13" s="5"/>
      <c r="D13" s="5"/>
      <c r="E13" s="5"/>
      <c r="F13" s="5"/>
      <c r="G13" s="23"/>
    </row>
    <row r="14" spans="1:9" ht="16.2" thickBot="1" x14ac:dyDescent="0.35">
      <c r="A14" s="39">
        <v>10000</v>
      </c>
      <c r="B14" s="39">
        <v>10000</v>
      </c>
      <c r="C14" s="39">
        <v>10000</v>
      </c>
      <c r="D14" s="4"/>
      <c r="E14" s="4"/>
      <c r="F14" s="4"/>
      <c r="G14" s="22"/>
      <c r="H14" s="32">
        <f>SUM(A14:G14)</f>
        <v>30000</v>
      </c>
    </row>
    <row r="15" spans="1:9" x14ac:dyDescent="0.3">
      <c r="A15" s="7">
        <v>44948</v>
      </c>
      <c r="B15" s="8">
        <v>44949</v>
      </c>
      <c r="C15" s="8">
        <v>44950</v>
      </c>
      <c r="D15" s="8">
        <v>44951</v>
      </c>
      <c r="E15" s="8">
        <v>44952</v>
      </c>
      <c r="F15" s="8">
        <v>44953</v>
      </c>
      <c r="G15" s="7">
        <v>44954</v>
      </c>
    </row>
    <row r="16" spans="1:9" x14ac:dyDescent="0.3">
      <c r="A16" s="44" t="s">
        <v>33</v>
      </c>
      <c r="B16" s="44" t="s">
        <v>33</v>
      </c>
      <c r="C16" s="44" t="s">
        <v>33</v>
      </c>
      <c r="D16" s="44" t="s">
        <v>33</v>
      </c>
      <c r="E16" s="44" t="s">
        <v>33</v>
      </c>
      <c r="F16" s="44" t="s">
        <v>33</v>
      </c>
      <c r="G16" s="44" t="s">
        <v>33</v>
      </c>
    </row>
    <row r="17" spans="1:9" ht="16.2" thickBot="1" x14ac:dyDescent="0.35">
      <c r="A17" s="23" t="s">
        <v>34</v>
      </c>
      <c r="B17" s="5"/>
      <c r="C17" s="5"/>
      <c r="D17" s="5"/>
      <c r="E17" s="5"/>
      <c r="F17" s="5"/>
      <c r="G17" s="23"/>
    </row>
    <row r="18" spans="1:9" ht="16.2" thickBot="1" x14ac:dyDescent="0.35">
      <c r="A18" s="22"/>
      <c r="B18" s="4"/>
      <c r="C18" s="4"/>
      <c r="D18" s="4"/>
      <c r="E18" s="4"/>
      <c r="F18" s="4"/>
      <c r="G18" s="22"/>
      <c r="H18" s="32">
        <f>SUM(A18:G18)</f>
        <v>0</v>
      </c>
    </row>
    <row r="19" spans="1:9" x14ac:dyDescent="0.3">
      <c r="A19" s="7">
        <v>44955</v>
      </c>
      <c r="B19" s="8">
        <v>44956</v>
      </c>
      <c r="C19" s="8">
        <v>44957</v>
      </c>
      <c r="D19" s="9">
        <v>44958</v>
      </c>
      <c r="E19" s="9">
        <v>44959</v>
      </c>
      <c r="F19" s="9">
        <v>44960</v>
      </c>
      <c r="G19" s="10">
        <v>44961</v>
      </c>
    </row>
    <row r="20" spans="1:9" x14ac:dyDescent="0.3">
      <c r="A20" s="44" t="s">
        <v>33</v>
      </c>
      <c r="B20" s="44" t="s">
        <v>33</v>
      </c>
      <c r="C20" s="44" t="s">
        <v>33</v>
      </c>
      <c r="D20" s="5"/>
      <c r="E20" s="5"/>
      <c r="F20" s="5"/>
      <c r="G20" s="23"/>
    </row>
    <row r="21" spans="1:9" ht="16.2" thickBot="1" x14ac:dyDescent="0.35">
      <c r="A21" s="23"/>
      <c r="B21" s="5"/>
      <c r="C21" s="5"/>
      <c r="D21" s="5"/>
      <c r="E21" s="5"/>
      <c r="F21" s="5"/>
      <c r="G21" s="23"/>
    </row>
    <row r="22" spans="1:9" ht="16.2" thickBot="1" x14ac:dyDescent="0.35">
      <c r="A22" s="22"/>
      <c r="B22" s="4"/>
      <c r="C22" s="4"/>
      <c r="D22" s="4"/>
      <c r="E22" s="4"/>
      <c r="F22" s="4"/>
      <c r="G22" s="22"/>
      <c r="H22" s="32">
        <f>SUM(A22:G22)</f>
        <v>0</v>
      </c>
      <c r="I22" s="38">
        <f>SUM(H6,H10,H14,H18,H22)</f>
        <v>152500</v>
      </c>
    </row>
    <row r="23" spans="1:9" ht="16.2" thickBot="1" x14ac:dyDescent="0.35"/>
    <row r="24" spans="1:9" ht="21" thickBot="1" x14ac:dyDescent="0.35">
      <c r="A24" s="99" t="s">
        <v>24</v>
      </c>
      <c r="B24" s="100"/>
      <c r="C24" s="100"/>
      <c r="D24" s="100"/>
      <c r="E24" s="100"/>
      <c r="F24" s="100"/>
      <c r="G24" s="101"/>
    </row>
    <row r="25" spans="1:9" ht="18" thickBot="1" x14ac:dyDescent="0.35">
      <c r="A25" s="13" t="s">
        <v>13</v>
      </c>
      <c r="B25" s="12" t="s">
        <v>12</v>
      </c>
      <c r="C25" s="12" t="s">
        <v>11</v>
      </c>
      <c r="D25" s="12" t="s">
        <v>10</v>
      </c>
      <c r="E25" s="12" t="s">
        <v>9</v>
      </c>
      <c r="F25" s="12" t="s">
        <v>8</v>
      </c>
      <c r="G25" s="11" t="s">
        <v>7</v>
      </c>
    </row>
    <row r="26" spans="1:9" x14ac:dyDescent="0.3">
      <c r="A26" s="10">
        <v>44955</v>
      </c>
      <c r="B26" s="9">
        <v>44956</v>
      </c>
      <c r="C26" s="9">
        <v>44957</v>
      </c>
      <c r="D26" s="8">
        <v>44958</v>
      </c>
      <c r="E26" s="8">
        <v>44959</v>
      </c>
      <c r="F26" s="8">
        <v>44960</v>
      </c>
      <c r="G26" s="7">
        <v>44961</v>
      </c>
    </row>
    <row r="27" spans="1:9" x14ac:dyDescent="0.3">
      <c r="A27" s="23"/>
      <c r="B27" s="5"/>
      <c r="C27" s="5"/>
      <c r="D27" s="44" t="s">
        <v>33</v>
      </c>
      <c r="E27" s="44" t="s">
        <v>33</v>
      </c>
      <c r="F27" s="44" t="s">
        <v>33</v>
      </c>
      <c r="G27" s="44" t="s">
        <v>33</v>
      </c>
    </row>
    <row r="28" spans="1:9" ht="16.2" thickBot="1" x14ac:dyDescent="0.35">
      <c r="A28" s="23"/>
      <c r="B28" s="5"/>
      <c r="C28" s="5"/>
      <c r="D28" s="5"/>
      <c r="E28" s="5"/>
      <c r="F28" s="5"/>
      <c r="G28" s="23"/>
    </row>
    <row r="29" spans="1:9" ht="16.2" thickBot="1" x14ac:dyDescent="0.35">
      <c r="A29" s="22"/>
      <c r="B29" s="4"/>
      <c r="C29" s="4"/>
      <c r="D29" s="4"/>
      <c r="E29" s="4"/>
      <c r="F29" s="4"/>
      <c r="G29" s="22"/>
      <c r="H29" s="32">
        <f>SUM(A29:G29)</f>
        <v>0</v>
      </c>
    </row>
    <row r="30" spans="1:9" x14ac:dyDescent="0.3">
      <c r="A30" s="7">
        <v>44962</v>
      </c>
      <c r="B30" s="8">
        <v>44963</v>
      </c>
      <c r="C30" s="8">
        <v>44964</v>
      </c>
      <c r="D30" s="8">
        <v>44965</v>
      </c>
      <c r="E30" s="8">
        <v>44966</v>
      </c>
      <c r="F30" s="8">
        <v>44967</v>
      </c>
      <c r="G30" s="7">
        <v>44968</v>
      </c>
    </row>
    <row r="31" spans="1:9" x14ac:dyDescent="0.3">
      <c r="A31" s="44" t="s">
        <v>33</v>
      </c>
      <c r="B31" s="44" t="s">
        <v>33</v>
      </c>
      <c r="C31" s="44" t="s">
        <v>33</v>
      </c>
      <c r="D31" s="44" t="s">
        <v>33</v>
      </c>
      <c r="E31" s="44" t="s">
        <v>33</v>
      </c>
      <c r="F31" s="44" t="s">
        <v>33</v>
      </c>
      <c r="G31" s="23"/>
    </row>
    <row r="32" spans="1:9" ht="16.2" thickBot="1" x14ac:dyDescent="0.35">
      <c r="A32" s="23"/>
      <c r="B32" s="5"/>
      <c r="C32" s="5"/>
      <c r="D32" s="5"/>
      <c r="E32" s="5"/>
      <c r="F32" s="5"/>
      <c r="G32" s="23"/>
    </row>
    <row r="33" spans="1:9" ht="16.2" thickBot="1" x14ac:dyDescent="0.35">
      <c r="A33" s="22"/>
      <c r="B33" s="4"/>
      <c r="C33" s="4"/>
      <c r="D33" s="4"/>
      <c r="E33" s="4"/>
      <c r="F33" s="4"/>
      <c r="G33" s="22"/>
      <c r="H33" s="32">
        <f>SUM(A33:G33)</f>
        <v>0</v>
      </c>
    </row>
    <row r="34" spans="1:9" x14ac:dyDescent="0.3">
      <c r="A34" s="7">
        <v>44969</v>
      </c>
      <c r="B34" s="8">
        <v>44970</v>
      </c>
      <c r="C34" s="8">
        <v>44971</v>
      </c>
      <c r="D34" s="8">
        <v>44972</v>
      </c>
      <c r="E34" s="8">
        <v>44973</v>
      </c>
      <c r="F34" s="8">
        <v>44974</v>
      </c>
      <c r="G34" s="7">
        <v>44975</v>
      </c>
    </row>
    <row r="35" spans="1:9" x14ac:dyDescent="0.3">
      <c r="A35" s="23"/>
      <c r="B35" s="5"/>
      <c r="C35" s="5"/>
      <c r="D35" s="5"/>
      <c r="E35" s="5"/>
      <c r="F35" s="5"/>
      <c r="G35" s="44" t="s">
        <v>38</v>
      </c>
    </row>
    <row r="36" spans="1:9" ht="16.2" thickBot="1" x14ac:dyDescent="0.35">
      <c r="A36" s="23"/>
      <c r="B36" s="5"/>
      <c r="C36" s="5"/>
      <c r="D36" s="5"/>
      <c r="E36" s="5"/>
      <c r="F36" s="5"/>
      <c r="G36" s="23" t="s">
        <v>39</v>
      </c>
    </row>
    <row r="37" spans="1:9" ht="16.2" thickBot="1" x14ac:dyDescent="0.35">
      <c r="A37" s="22"/>
      <c r="B37" s="4"/>
      <c r="C37" s="4"/>
      <c r="D37" s="4"/>
      <c r="E37" s="4"/>
      <c r="F37" s="4"/>
      <c r="G37" s="39">
        <v>15000</v>
      </c>
      <c r="H37" s="32">
        <f>SUM(A37:G37)</f>
        <v>15000</v>
      </c>
    </row>
    <row r="38" spans="1:9" x14ac:dyDescent="0.3">
      <c r="A38" s="7">
        <v>44976</v>
      </c>
      <c r="B38" s="8">
        <v>44977</v>
      </c>
      <c r="C38" s="8">
        <v>44978</v>
      </c>
      <c r="D38" s="8">
        <v>44979</v>
      </c>
      <c r="E38" s="8">
        <v>44980</v>
      </c>
      <c r="F38" s="8">
        <v>44981</v>
      </c>
      <c r="G38" s="7">
        <v>44982</v>
      </c>
    </row>
    <row r="39" spans="1:9" x14ac:dyDescent="0.3">
      <c r="A39" s="23"/>
      <c r="B39" s="5"/>
      <c r="C39" s="5"/>
      <c r="D39" s="5"/>
      <c r="E39" s="5"/>
      <c r="F39" s="5"/>
      <c r="G39" s="23"/>
    </row>
    <row r="40" spans="1:9" ht="16.2" thickBot="1" x14ac:dyDescent="0.35">
      <c r="A40" s="23"/>
      <c r="B40" s="5"/>
      <c r="C40" s="5"/>
      <c r="D40" s="5"/>
      <c r="E40" s="5"/>
      <c r="F40" s="5"/>
      <c r="G40" s="23"/>
    </row>
    <row r="41" spans="1:9" ht="16.2" thickBot="1" x14ac:dyDescent="0.35">
      <c r="A41" s="22"/>
      <c r="B41" s="4"/>
      <c r="C41" s="4"/>
      <c r="D41" s="4"/>
      <c r="E41" s="4"/>
      <c r="F41" s="4"/>
      <c r="G41" s="22"/>
      <c r="H41" s="32">
        <f>SUM(A41:G41)</f>
        <v>0</v>
      </c>
    </row>
    <row r="42" spans="1:9" x14ac:dyDescent="0.3">
      <c r="A42" s="7">
        <v>44983</v>
      </c>
      <c r="B42" s="8">
        <v>44984</v>
      </c>
      <c r="C42" s="8">
        <v>44985</v>
      </c>
      <c r="D42" s="9">
        <v>44986</v>
      </c>
      <c r="E42" s="9">
        <v>44987</v>
      </c>
      <c r="F42" s="9">
        <v>44988</v>
      </c>
      <c r="G42" s="10">
        <v>44989</v>
      </c>
    </row>
    <row r="43" spans="1:9" x14ac:dyDescent="0.3">
      <c r="A43" s="23"/>
      <c r="B43" s="44" t="s">
        <v>40</v>
      </c>
      <c r="C43" s="44" t="s">
        <v>40</v>
      </c>
      <c r="D43" s="18"/>
      <c r="E43" s="18"/>
      <c r="F43" s="5"/>
      <c r="G43" s="23"/>
    </row>
    <row r="44" spans="1:9" ht="16.2" thickBot="1" x14ac:dyDescent="0.35">
      <c r="A44" s="23"/>
      <c r="B44" s="5" t="s">
        <v>41</v>
      </c>
      <c r="C44" s="5"/>
      <c r="D44" s="18"/>
      <c r="E44" s="18"/>
      <c r="F44" s="5"/>
      <c r="G44" s="23"/>
    </row>
    <row r="45" spans="1:9" ht="16.2" thickBot="1" x14ac:dyDescent="0.35">
      <c r="A45" s="22"/>
      <c r="B45" s="3">
        <v>8000</v>
      </c>
      <c r="C45" s="3">
        <v>8000</v>
      </c>
      <c r="D45" s="16"/>
      <c r="E45" s="16"/>
      <c r="F45" s="4"/>
      <c r="G45" s="22"/>
      <c r="H45" s="32">
        <f>SUM(A45:G45)</f>
        <v>16000</v>
      </c>
      <c r="I45" s="37">
        <f>SUM(H29,H33,H37,H41,H45)</f>
        <v>31000</v>
      </c>
    </row>
    <row r="46" spans="1:9" ht="16.2" thickBot="1" x14ac:dyDescent="0.35"/>
    <row r="47" spans="1:9" ht="21" thickBot="1" x14ac:dyDescent="0.35">
      <c r="A47" s="99" t="s">
        <v>23</v>
      </c>
      <c r="B47" s="100"/>
      <c r="C47" s="100"/>
      <c r="D47" s="100"/>
      <c r="E47" s="100"/>
      <c r="F47" s="100"/>
      <c r="G47" s="101"/>
    </row>
    <row r="48" spans="1:9" ht="18" thickBot="1" x14ac:dyDescent="0.35">
      <c r="A48" s="13" t="s">
        <v>13</v>
      </c>
      <c r="B48" s="12" t="s">
        <v>12</v>
      </c>
      <c r="C48" s="12" t="s">
        <v>11</v>
      </c>
      <c r="D48" s="12" t="s">
        <v>10</v>
      </c>
      <c r="E48" s="12" t="s">
        <v>9</v>
      </c>
      <c r="F48" s="12" t="s">
        <v>8</v>
      </c>
      <c r="G48" s="11" t="s">
        <v>7</v>
      </c>
    </row>
    <row r="49" spans="1:8" x14ac:dyDescent="0.3">
      <c r="A49" s="10">
        <v>44983</v>
      </c>
      <c r="B49" s="9">
        <v>44984</v>
      </c>
      <c r="C49" s="9">
        <v>44985</v>
      </c>
      <c r="D49" s="8">
        <v>44986</v>
      </c>
      <c r="E49" s="8">
        <v>44987</v>
      </c>
      <c r="F49" s="8">
        <v>44988</v>
      </c>
      <c r="G49" s="7">
        <v>44989</v>
      </c>
    </row>
    <row r="50" spans="1:8" x14ac:dyDescent="0.3">
      <c r="A50" s="5"/>
      <c r="B50" s="5"/>
      <c r="C50" s="5"/>
      <c r="D50" s="44" t="s">
        <v>40</v>
      </c>
      <c r="E50" s="44" t="s">
        <v>40</v>
      </c>
      <c r="F50" s="5"/>
      <c r="G50" s="44" t="s">
        <v>37</v>
      </c>
    </row>
    <row r="51" spans="1:8" ht="16.2" thickBot="1" x14ac:dyDescent="0.35">
      <c r="A51" s="5"/>
      <c r="B51" s="5"/>
      <c r="C51" s="5"/>
      <c r="D51" s="5"/>
      <c r="E51" s="5"/>
      <c r="F51" s="5"/>
      <c r="G51" s="5"/>
    </row>
    <row r="52" spans="1:8" ht="16.2" thickBot="1" x14ac:dyDescent="0.35">
      <c r="A52" s="4"/>
      <c r="B52" s="4"/>
      <c r="C52" s="4"/>
      <c r="D52" s="3">
        <v>8000</v>
      </c>
      <c r="E52" s="3">
        <v>8000</v>
      </c>
      <c r="F52" s="46"/>
      <c r="G52" s="3">
        <v>10000</v>
      </c>
      <c r="H52" s="32">
        <f>SUM(A52:G52)</f>
        <v>26000</v>
      </c>
    </row>
    <row r="53" spans="1:8" x14ac:dyDescent="0.3">
      <c r="A53" s="7">
        <v>44990</v>
      </c>
      <c r="B53" s="8">
        <v>44991</v>
      </c>
      <c r="C53" s="8">
        <v>44992</v>
      </c>
      <c r="D53" s="8">
        <v>44993</v>
      </c>
      <c r="E53" s="8">
        <v>44994</v>
      </c>
      <c r="F53" s="8">
        <v>44995</v>
      </c>
      <c r="G53" s="7">
        <v>44996</v>
      </c>
    </row>
    <row r="54" spans="1:8" x14ac:dyDescent="0.3">
      <c r="A54" s="44" t="s">
        <v>37</v>
      </c>
      <c r="B54" s="44" t="s">
        <v>37</v>
      </c>
      <c r="C54" s="44" t="s">
        <v>37</v>
      </c>
      <c r="D54" s="5"/>
      <c r="E54" s="5"/>
      <c r="F54" s="5"/>
      <c r="G54" s="5"/>
    </row>
    <row r="55" spans="1:8" ht="16.2" thickBot="1" x14ac:dyDescent="0.35">
      <c r="A55" s="5"/>
      <c r="B55" s="5"/>
      <c r="C55" s="5"/>
      <c r="D55" s="5"/>
      <c r="E55" s="5"/>
      <c r="F55" s="5"/>
      <c r="G55" s="5"/>
    </row>
    <row r="56" spans="1:8" ht="16.2" thickBot="1" x14ac:dyDescent="0.35">
      <c r="A56" s="3">
        <v>10000</v>
      </c>
      <c r="B56" s="3">
        <v>10000</v>
      </c>
      <c r="C56" s="3">
        <v>10000</v>
      </c>
      <c r="D56" s="4"/>
      <c r="E56" s="4"/>
      <c r="F56" s="4"/>
      <c r="G56" s="4"/>
      <c r="H56" s="32">
        <f>SUM(A56:G56)</f>
        <v>30000</v>
      </c>
    </row>
    <row r="57" spans="1:8" x14ac:dyDescent="0.3">
      <c r="A57" s="7">
        <v>44997</v>
      </c>
      <c r="B57" s="8">
        <v>44998</v>
      </c>
      <c r="C57" s="8">
        <v>44999</v>
      </c>
      <c r="D57" s="8">
        <v>45000</v>
      </c>
      <c r="E57" s="8">
        <v>45001</v>
      </c>
      <c r="F57" s="8">
        <v>45002</v>
      </c>
      <c r="G57" s="7">
        <v>45003</v>
      </c>
    </row>
    <row r="58" spans="1:8" x14ac:dyDescent="0.3">
      <c r="A58" s="5"/>
      <c r="B58" s="5"/>
      <c r="C58" s="44" t="s">
        <v>37</v>
      </c>
      <c r="D58" s="5"/>
      <c r="E58" s="5"/>
      <c r="F58" s="5"/>
      <c r="G58" s="5"/>
    </row>
    <row r="59" spans="1:8" ht="16.2" thickBot="1" x14ac:dyDescent="0.35">
      <c r="A59" s="5"/>
      <c r="B59" s="5"/>
      <c r="C59" s="5" t="s">
        <v>43</v>
      </c>
      <c r="D59" s="5"/>
      <c r="E59" s="5"/>
      <c r="F59" s="5"/>
      <c r="G59" s="5"/>
    </row>
    <row r="60" spans="1:8" ht="16.2" thickBot="1" x14ac:dyDescent="0.35">
      <c r="A60" s="4"/>
      <c r="B60" s="4"/>
      <c r="C60" s="3">
        <v>12000</v>
      </c>
      <c r="D60" s="4"/>
      <c r="E60" s="4"/>
      <c r="F60" s="4"/>
      <c r="G60" s="4"/>
      <c r="H60" s="32">
        <f>SUM(A60:G60)</f>
        <v>12000</v>
      </c>
    </row>
    <row r="61" spans="1:8" x14ac:dyDescent="0.3">
      <c r="A61" s="7">
        <v>45004</v>
      </c>
      <c r="B61" s="8">
        <v>45005</v>
      </c>
      <c r="C61" s="8">
        <v>45006</v>
      </c>
      <c r="D61" s="8">
        <v>45007</v>
      </c>
      <c r="E61" s="8">
        <v>45008</v>
      </c>
      <c r="F61" s="8">
        <v>45009</v>
      </c>
      <c r="G61" s="7">
        <v>45010</v>
      </c>
    </row>
    <row r="62" spans="1:8" x14ac:dyDescent="0.3">
      <c r="A62" s="5"/>
      <c r="B62" s="44" t="s">
        <v>36</v>
      </c>
      <c r="C62" s="44" t="s">
        <v>36</v>
      </c>
      <c r="D62" s="44" t="s">
        <v>36</v>
      </c>
      <c r="E62" s="44" t="s">
        <v>36</v>
      </c>
      <c r="F62" s="44" t="s">
        <v>36</v>
      </c>
      <c r="G62" s="44" t="s">
        <v>36</v>
      </c>
    </row>
    <row r="63" spans="1:8" ht="16.2" thickBot="1" x14ac:dyDescent="0.35">
      <c r="A63" s="5"/>
      <c r="B63" s="5" t="s">
        <v>35</v>
      </c>
      <c r="C63" s="5"/>
      <c r="D63" s="5"/>
      <c r="E63" s="5"/>
      <c r="F63" s="5"/>
      <c r="G63" s="5"/>
    </row>
    <row r="64" spans="1:8" ht="16.2" thickBot="1" x14ac:dyDescent="0.35">
      <c r="A64" s="4"/>
      <c r="B64" s="3">
        <v>12000</v>
      </c>
      <c r="C64" s="3">
        <v>12000</v>
      </c>
      <c r="D64" s="3">
        <v>12000</v>
      </c>
      <c r="E64" s="3">
        <v>12000</v>
      </c>
      <c r="F64" s="3">
        <v>12000</v>
      </c>
      <c r="G64" s="3">
        <v>12000</v>
      </c>
      <c r="H64" s="32">
        <f>SUM(A64:G64)</f>
        <v>72000</v>
      </c>
    </row>
    <row r="65" spans="1:9" x14ac:dyDescent="0.3">
      <c r="A65" s="7">
        <v>45011</v>
      </c>
      <c r="B65" s="8">
        <v>45012</v>
      </c>
      <c r="C65" s="8">
        <v>45013</v>
      </c>
      <c r="D65" s="8">
        <v>45014</v>
      </c>
      <c r="E65" s="8">
        <v>45015</v>
      </c>
      <c r="F65" s="8">
        <v>45016</v>
      </c>
      <c r="G65" s="10">
        <v>45017</v>
      </c>
    </row>
    <row r="66" spans="1:9" x14ac:dyDescent="0.3">
      <c r="A66" s="5"/>
      <c r="B66" s="5"/>
      <c r="C66" s="5"/>
      <c r="D66" s="5"/>
      <c r="E66" s="5"/>
      <c r="F66" s="5"/>
      <c r="G66" s="5"/>
    </row>
    <row r="67" spans="1:9" ht="16.2" thickBot="1" x14ac:dyDescent="0.35">
      <c r="A67" s="5"/>
      <c r="B67" s="5"/>
      <c r="C67" s="5"/>
      <c r="D67" s="5"/>
      <c r="E67" s="5"/>
      <c r="F67" s="5"/>
      <c r="G67" s="5"/>
    </row>
    <row r="68" spans="1:9" ht="16.2" thickBot="1" x14ac:dyDescent="0.35">
      <c r="A68" s="46"/>
      <c r="B68" s="4"/>
      <c r="C68" s="4"/>
      <c r="D68" s="4"/>
      <c r="E68" s="4"/>
      <c r="F68" s="4"/>
      <c r="G68" s="4"/>
      <c r="H68" s="32">
        <f>SUM(A68:G68)</f>
        <v>0</v>
      </c>
      <c r="I68" s="37">
        <f>SUM(H52,H56,H60,H64,H68)</f>
        <v>140000</v>
      </c>
    </row>
    <row r="69" spans="1:9" ht="16.2" thickBot="1" x14ac:dyDescent="0.35"/>
    <row r="70" spans="1:9" ht="21" thickBot="1" x14ac:dyDescent="0.35">
      <c r="A70" s="99" t="s">
        <v>22</v>
      </c>
      <c r="B70" s="100"/>
      <c r="C70" s="100"/>
      <c r="D70" s="100"/>
      <c r="E70" s="100"/>
      <c r="F70" s="100"/>
      <c r="G70" s="101"/>
    </row>
    <row r="71" spans="1:9" ht="18" thickBot="1" x14ac:dyDescent="0.35">
      <c r="A71" s="13" t="s">
        <v>13</v>
      </c>
      <c r="B71" s="12" t="s">
        <v>12</v>
      </c>
      <c r="C71" s="12" t="s">
        <v>11</v>
      </c>
      <c r="D71" s="12" t="s">
        <v>10</v>
      </c>
      <c r="E71" s="12" t="s">
        <v>9</v>
      </c>
      <c r="F71" s="12" t="s">
        <v>8</v>
      </c>
      <c r="G71" s="11" t="s">
        <v>7</v>
      </c>
    </row>
    <row r="72" spans="1:9" x14ac:dyDescent="0.3">
      <c r="A72" s="10">
        <v>45011</v>
      </c>
      <c r="B72" s="9">
        <v>45012</v>
      </c>
      <c r="C72" s="9">
        <v>45013</v>
      </c>
      <c r="D72" s="9">
        <v>45014</v>
      </c>
      <c r="E72" s="9">
        <v>45015</v>
      </c>
      <c r="F72" s="9">
        <v>45016</v>
      </c>
      <c r="G72" s="7">
        <v>45017</v>
      </c>
    </row>
    <row r="73" spans="1:9" x14ac:dyDescent="0.3">
      <c r="A73" s="5"/>
      <c r="B73" s="5"/>
      <c r="C73" s="5"/>
      <c r="D73" s="5"/>
      <c r="E73" s="5"/>
      <c r="F73" s="5"/>
      <c r="G73" s="5"/>
    </row>
    <row r="74" spans="1:9" ht="16.2" thickBot="1" x14ac:dyDescent="0.35">
      <c r="A74" s="5"/>
      <c r="B74" s="5"/>
      <c r="C74" s="5"/>
      <c r="D74" s="5"/>
      <c r="E74" s="5"/>
      <c r="F74" s="5"/>
      <c r="G74" s="5"/>
    </row>
    <row r="75" spans="1:9" ht="16.2" thickBot="1" x14ac:dyDescent="0.35">
      <c r="A75" s="4"/>
      <c r="B75" s="4"/>
      <c r="C75" s="4"/>
      <c r="D75" s="4"/>
      <c r="E75" s="4"/>
      <c r="F75" s="4"/>
      <c r="G75" s="4"/>
      <c r="H75" s="32">
        <f>SUM(A75:G75)</f>
        <v>0</v>
      </c>
    </row>
    <row r="76" spans="1:9" x14ac:dyDescent="0.3">
      <c r="A76" s="7">
        <v>45018</v>
      </c>
      <c r="B76" s="8">
        <v>45019</v>
      </c>
      <c r="C76" s="8">
        <v>45020</v>
      </c>
      <c r="D76" s="8">
        <v>45021</v>
      </c>
      <c r="E76" s="8">
        <v>45022</v>
      </c>
      <c r="F76" s="8">
        <v>45023</v>
      </c>
      <c r="G76" s="7">
        <v>45024</v>
      </c>
    </row>
    <row r="77" spans="1:9" x14ac:dyDescent="0.3">
      <c r="A77" s="5"/>
      <c r="B77" s="5"/>
      <c r="C77" s="5"/>
      <c r="D77" s="5"/>
      <c r="E77" s="44" t="s">
        <v>42</v>
      </c>
      <c r="F77" s="44"/>
      <c r="G77" s="44"/>
    </row>
    <row r="78" spans="1:9" ht="16.2" thickBot="1" x14ac:dyDescent="0.35">
      <c r="A78" s="5"/>
      <c r="B78" s="5"/>
      <c r="C78" s="5"/>
      <c r="D78" s="5"/>
      <c r="E78" s="5"/>
      <c r="F78" s="5"/>
      <c r="G78" s="5"/>
    </row>
    <row r="79" spans="1:9" ht="16.2" thickBot="1" x14ac:dyDescent="0.35">
      <c r="A79" s="4"/>
      <c r="B79" s="4"/>
      <c r="C79" s="4"/>
      <c r="D79" s="4"/>
      <c r="E79" s="3">
        <v>10000</v>
      </c>
      <c r="F79" s="3">
        <v>10000</v>
      </c>
      <c r="G79" s="3">
        <v>10000</v>
      </c>
      <c r="H79" s="32">
        <f>SUM(A79:G79)</f>
        <v>30000</v>
      </c>
    </row>
    <row r="80" spans="1:9" x14ac:dyDescent="0.3">
      <c r="A80" s="7">
        <v>45025</v>
      </c>
      <c r="B80" s="8">
        <v>45026</v>
      </c>
      <c r="C80" s="8">
        <v>45027</v>
      </c>
      <c r="D80" s="8">
        <v>45028</v>
      </c>
      <c r="E80" s="8">
        <v>45029</v>
      </c>
      <c r="F80" s="8">
        <v>45030</v>
      </c>
      <c r="G80" s="7">
        <v>45031</v>
      </c>
    </row>
    <row r="81" spans="1:9" x14ac:dyDescent="0.3">
      <c r="A81" s="5"/>
      <c r="B81" s="5"/>
      <c r="C81" s="5"/>
      <c r="D81" s="5"/>
      <c r="E81" s="5"/>
      <c r="F81" s="44" t="s">
        <v>45</v>
      </c>
      <c r="G81" s="44" t="s">
        <v>45</v>
      </c>
    </row>
    <row r="82" spans="1:9" ht="16.2" thickBot="1" x14ac:dyDescent="0.35">
      <c r="A82" s="5"/>
      <c r="B82" s="5"/>
      <c r="C82" s="5"/>
      <c r="D82" s="5"/>
      <c r="E82" s="5"/>
      <c r="F82" s="5"/>
      <c r="G82" s="5"/>
    </row>
    <row r="83" spans="1:9" ht="16.2" thickBot="1" x14ac:dyDescent="0.35">
      <c r="A83" s="4"/>
      <c r="B83" s="4"/>
      <c r="C83" s="4"/>
      <c r="D83" s="4"/>
      <c r="E83" s="4"/>
      <c r="F83" s="3">
        <v>10000</v>
      </c>
      <c r="G83" s="3">
        <v>10000</v>
      </c>
      <c r="H83" s="32">
        <f>SUM(A83:G83)</f>
        <v>20000</v>
      </c>
    </row>
    <row r="84" spans="1:9" x14ac:dyDescent="0.3">
      <c r="A84" s="7">
        <v>45032</v>
      </c>
      <c r="B84" s="8">
        <v>45033</v>
      </c>
      <c r="C84" s="8">
        <v>45034</v>
      </c>
      <c r="D84" s="8">
        <v>45035</v>
      </c>
      <c r="E84" s="8">
        <v>45036</v>
      </c>
      <c r="F84" s="8">
        <v>45037</v>
      </c>
      <c r="G84" s="7">
        <v>45038</v>
      </c>
    </row>
    <row r="85" spans="1:9" x14ac:dyDescent="0.3">
      <c r="A85" s="44" t="s">
        <v>45</v>
      </c>
      <c r="B85" s="44" t="s">
        <v>45</v>
      </c>
      <c r="C85" s="44" t="s">
        <v>45</v>
      </c>
      <c r="D85" s="44" t="s">
        <v>45</v>
      </c>
      <c r="E85" s="5"/>
      <c r="F85" s="5"/>
      <c r="G85" s="5"/>
    </row>
    <row r="86" spans="1:9" ht="16.2" thickBot="1" x14ac:dyDescent="0.35">
      <c r="A86" s="5"/>
      <c r="B86" s="5"/>
      <c r="C86" s="5"/>
      <c r="D86" s="5"/>
      <c r="E86" s="5"/>
      <c r="F86" s="5"/>
      <c r="G86" s="5"/>
    </row>
    <row r="87" spans="1:9" ht="16.2" thickBot="1" x14ac:dyDescent="0.35">
      <c r="A87" s="3">
        <v>10000</v>
      </c>
      <c r="B87" s="3">
        <v>10000</v>
      </c>
      <c r="C87" s="3">
        <v>10000</v>
      </c>
      <c r="D87" s="3">
        <v>10000</v>
      </c>
      <c r="E87" s="46"/>
      <c r="F87" s="46"/>
      <c r="G87" s="46"/>
      <c r="H87" s="32">
        <f>SUM(A87:G87)</f>
        <v>40000</v>
      </c>
    </row>
    <row r="88" spans="1:9" x14ac:dyDescent="0.3">
      <c r="A88" s="7">
        <v>45039</v>
      </c>
      <c r="B88" s="8">
        <v>45040</v>
      </c>
      <c r="C88" s="8">
        <v>45041</v>
      </c>
      <c r="D88" s="8">
        <v>45042</v>
      </c>
      <c r="E88" s="8">
        <v>45043</v>
      </c>
      <c r="F88" s="8">
        <v>45044</v>
      </c>
      <c r="G88" s="7">
        <v>45045</v>
      </c>
    </row>
    <row r="89" spans="1:9" x14ac:dyDescent="0.3">
      <c r="A89" s="5"/>
      <c r="B89" s="5"/>
      <c r="C89" s="5"/>
      <c r="D89" s="5"/>
      <c r="E89" s="5"/>
      <c r="F89" s="5"/>
      <c r="G89" s="44" t="s">
        <v>46</v>
      </c>
    </row>
    <row r="90" spans="1:9" ht="16.2" thickBot="1" x14ac:dyDescent="0.35">
      <c r="A90" s="5"/>
      <c r="B90" s="5"/>
      <c r="C90" s="5"/>
      <c r="D90" s="5"/>
      <c r="E90" s="5"/>
      <c r="F90" s="5"/>
      <c r="G90" s="5" t="s">
        <v>44</v>
      </c>
    </row>
    <row r="91" spans="1:9" ht="16.2" thickBot="1" x14ac:dyDescent="0.35">
      <c r="A91" s="46"/>
      <c r="B91" s="46"/>
      <c r="C91" s="46"/>
      <c r="D91" s="46"/>
      <c r="E91" s="46"/>
      <c r="F91" s="46"/>
      <c r="G91" s="3">
        <v>10000</v>
      </c>
      <c r="H91" s="32">
        <f>SUM(A91:G91)</f>
        <v>10000</v>
      </c>
    </row>
    <row r="92" spans="1:9" x14ac:dyDescent="0.3">
      <c r="A92" s="7">
        <v>45046</v>
      </c>
      <c r="B92" s="36">
        <v>45047</v>
      </c>
      <c r="C92" s="36">
        <v>45048</v>
      </c>
      <c r="D92" s="36">
        <v>45049</v>
      </c>
      <c r="E92" s="36">
        <v>45050</v>
      </c>
      <c r="F92" s="36">
        <v>45051</v>
      </c>
      <c r="G92" s="35">
        <v>45052</v>
      </c>
    </row>
    <row r="93" spans="1:9" x14ac:dyDescent="0.3">
      <c r="A93" s="44" t="s">
        <v>46</v>
      </c>
      <c r="B93" s="5"/>
      <c r="C93" s="5"/>
      <c r="D93" s="5"/>
      <c r="E93" s="5"/>
      <c r="F93" s="5"/>
      <c r="G93" s="5"/>
    </row>
    <row r="94" spans="1:9" ht="16.2" thickBot="1" x14ac:dyDescent="0.35">
      <c r="A94" s="5" t="s">
        <v>44</v>
      </c>
      <c r="B94" s="5"/>
      <c r="C94" s="5"/>
      <c r="D94" s="5"/>
      <c r="E94" s="5"/>
      <c r="F94" s="5"/>
      <c r="G94" s="5"/>
    </row>
    <row r="95" spans="1:9" ht="16.2" thickBot="1" x14ac:dyDescent="0.35">
      <c r="A95" s="3">
        <v>10000</v>
      </c>
      <c r="B95" s="46"/>
      <c r="C95" s="46"/>
      <c r="D95" s="4"/>
      <c r="E95" s="4"/>
      <c r="F95" s="4"/>
      <c r="G95" s="4"/>
      <c r="H95" s="31">
        <f>SUM(A95:G95)</f>
        <v>10000</v>
      </c>
      <c r="I95" s="32">
        <f>SUM(H79,H83,H87,H91,H95)</f>
        <v>110000</v>
      </c>
    </row>
    <row r="96" spans="1:9" ht="16.2" thickBot="1" x14ac:dyDescent="0.35"/>
    <row r="97" spans="1:8" ht="21" thickBot="1" x14ac:dyDescent="0.35">
      <c r="A97" s="99" t="s">
        <v>21</v>
      </c>
      <c r="B97" s="100"/>
      <c r="C97" s="100"/>
      <c r="D97" s="100"/>
      <c r="E97" s="100"/>
      <c r="F97" s="100"/>
      <c r="G97" s="101"/>
    </row>
    <row r="98" spans="1:8" ht="18" thickBot="1" x14ac:dyDescent="0.35">
      <c r="A98" s="13" t="s">
        <v>13</v>
      </c>
      <c r="B98" s="12" t="s">
        <v>12</v>
      </c>
      <c r="C98" s="12" t="s">
        <v>11</v>
      </c>
      <c r="D98" s="12" t="s">
        <v>10</v>
      </c>
      <c r="E98" s="12" t="s">
        <v>9</v>
      </c>
      <c r="F98" s="12" t="s">
        <v>8</v>
      </c>
      <c r="G98" s="11" t="s">
        <v>7</v>
      </c>
    </row>
    <row r="99" spans="1:8" x14ac:dyDescent="0.3">
      <c r="A99" s="35">
        <v>45046</v>
      </c>
      <c r="B99" s="8">
        <v>45047</v>
      </c>
      <c r="C99" s="8">
        <v>45048</v>
      </c>
      <c r="D99" s="8">
        <v>45049</v>
      </c>
      <c r="E99" s="8">
        <v>45050</v>
      </c>
      <c r="F99" s="8">
        <v>45051</v>
      </c>
      <c r="G99" s="7">
        <v>45052</v>
      </c>
    </row>
    <row r="100" spans="1:8" x14ac:dyDescent="0.3">
      <c r="A100" s="5"/>
      <c r="B100" s="44" t="s">
        <v>46</v>
      </c>
      <c r="C100" s="5"/>
      <c r="D100" s="5"/>
      <c r="E100" s="5"/>
      <c r="F100" s="44" t="s">
        <v>56</v>
      </c>
      <c r="G100" s="44" t="s">
        <v>56</v>
      </c>
    </row>
    <row r="101" spans="1:8" ht="16.2" thickBot="1" x14ac:dyDescent="0.35">
      <c r="A101" s="5"/>
      <c r="B101" s="5"/>
      <c r="C101" s="5"/>
      <c r="D101" s="5"/>
      <c r="E101" s="5"/>
      <c r="F101" s="5" t="s">
        <v>59</v>
      </c>
      <c r="G101" s="5"/>
    </row>
    <row r="102" spans="1:8" ht="16.2" thickBot="1" x14ac:dyDescent="0.35">
      <c r="A102" s="4"/>
      <c r="B102" s="3">
        <v>10000</v>
      </c>
      <c r="C102" s="4"/>
      <c r="D102" s="4"/>
      <c r="E102" s="4"/>
      <c r="F102" s="3">
        <v>12000</v>
      </c>
      <c r="G102" s="45">
        <v>12000</v>
      </c>
      <c r="H102" s="32">
        <f>SUM(A102:G102)</f>
        <v>34000</v>
      </c>
    </row>
    <row r="103" spans="1:8" x14ac:dyDescent="0.3">
      <c r="A103" s="7">
        <v>45053</v>
      </c>
      <c r="B103" s="8">
        <v>45054</v>
      </c>
      <c r="C103" s="8">
        <v>45055</v>
      </c>
      <c r="D103" s="8">
        <v>45056</v>
      </c>
      <c r="E103" s="8">
        <v>45057</v>
      </c>
      <c r="F103" s="8">
        <v>45058</v>
      </c>
      <c r="G103" s="7">
        <v>45059</v>
      </c>
    </row>
    <row r="104" spans="1:8" x14ac:dyDescent="0.3">
      <c r="A104" s="121"/>
      <c r="B104" s="121"/>
      <c r="C104" s="121"/>
      <c r="D104" s="121"/>
      <c r="E104" s="121"/>
      <c r="F104" s="121"/>
      <c r="G104" s="5"/>
    </row>
    <row r="105" spans="1:8" ht="16.2" thickBot="1" x14ac:dyDescent="0.35">
      <c r="A105" s="5"/>
      <c r="B105" s="5"/>
      <c r="C105" s="5"/>
      <c r="D105" s="5"/>
      <c r="E105" s="5"/>
      <c r="F105" s="5"/>
      <c r="G105" s="5"/>
    </row>
    <row r="106" spans="1:8" ht="16.2" thickBot="1" x14ac:dyDescent="0.35">
      <c r="A106" s="45">
        <v>14000</v>
      </c>
      <c r="B106" s="45">
        <v>14000</v>
      </c>
      <c r="C106" s="45">
        <v>14000</v>
      </c>
      <c r="D106" s="45">
        <v>14000</v>
      </c>
      <c r="E106" s="45">
        <v>14000</v>
      </c>
      <c r="F106" s="45">
        <v>14000</v>
      </c>
      <c r="G106" s="88"/>
      <c r="H106" s="32">
        <f>SUM(A106:G106)</f>
        <v>84000</v>
      </c>
    </row>
    <row r="107" spans="1:8" x14ac:dyDescent="0.3">
      <c r="A107" s="7">
        <v>45060</v>
      </c>
      <c r="B107" s="8">
        <v>45061</v>
      </c>
      <c r="C107" s="8">
        <v>45062</v>
      </c>
      <c r="D107" s="8">
        <v>45063</v>
      </c>
      <c r="E107" s="8">
        <v>45064</v>
      </c>
      <c r="F107" s="8">
        <v>45065</v>
      </c>
      <c r="G107" s="7">
        <v>45066</v>
      </c>
    </row>
    <row r="108" spans="1:8" x14ac:dyDescent="0.3">
      <c r="A108" s="5"/>
      <c r="B108" s="5"/>
      <c r="C108" s="5"/>
      <c r="D108" s="5"/>
      <c r="E108" s="5"/>
      <c r="F108" s="5"/>
      <c r="G108" s="5"/>
    </row>
    <row r="109" spans="1:8" ht="16.2" thickBot="1" x14ac:dyDescent="0.35">
      <c r="A109" s="5"/>
      <c r="B109" s="5"/>
      <c r="C109" s="5"/>
      <c r="D109" s="5"/>
      <c r="E109" s="5"/>
      <c r="F109" s="5"/>
      <c r="G109" s="5"/>
    </row>
    <row r="110" spans="1:8" ht="16.2" thickBot="1" x14ac:dyDescent="0.35">
      <c r="A110" s="4"/>
      <c r="B110" s="4"/>
      <c r="C110" s="4"/>
      <c r="D110" s="4"/>
      <c r="E110" s="4"/>
      <c r="F110" s="4"/>
      <c r="G110" s="4"/>
      <c r="H110" s="32">
        <f>SUM(A110:G110)</f>
        <v>0</v>
      </c>
    </row>
    <row r="111" spans="1:8" x14ac:dyDescent="0.3">
      <c r="A111" s="7">
        <v>45067</v>
      </c>
      <c r="B111" s="8">
        <v>45068</v>
      </c>
      <c r="C111" s="8">
        <v>45069</v>
      </c>
      <c r="D111" s="8">
        <v>45070</v>
      </c>
      <c r="E111" s="8">
        <v>45071</v>
      </c>
      <c r="F111" s="8">
        <v>45072</v>
      </c>
      <c r="G111" s="7">
        <v>45073</v>
      </c>
    </row>
    <row r="112" spans="1:8" x14ac:dyDescent="0.3">
      <c r="A112" s="5"/>
      <c r="B112" s="5"/>
      <c r="C112" s="5"/>
      <c r="D112" s="5"/>
      <c r="E112" s="5"/>
      <c r="F112" s="5"/>
      <c r="G112" s="5"/>
    </row>
    <row r="113" spans="1:9" ht="16.2" thickBot="1" x14ac:dyDescent="0.35">
      <c r="A113" s="5"/>
      <c r="B113" s="5"/>
      <c r="C113" s="5"/>
      <c r="D113" s="5"/>
      <c r="E113" s="5"/>
      <c r="F113" s="5"/>
      <c r="G113" s="5"/>
      <c r="H113" s="34"/>
    </row>
    <row r="114" spans="1:9" ht="16.2" thickBot="1" x14ac:dyDescent="0.35">
      <c r="A114" s="4"/>
      <c r="B114" s="4"/>
      <c r="C114" s="4"/>
      <c r="D114" s="4"/>
      <c r="E114" s="4"/>
      <c r="F114" s="4"/>
      <c r="G114" s="4"/>
      <c r="H114" s="32">
        <f>SUM(A114:G114)</f>
        <v>0</v>
      </c>
    </row>
    <row r="115" spans="1:9" x14ac:dyDescent="0.3">
      <c r="A115" s="7">
        <v>45074</v>
      </c>
      <c r="B115" s="8">
        <v>45075</v>
      </c>
      <c r="C115" s="8">
        <v>45076</v>
      </c>
      <c r="D115" s="8">
        <v>45077</v>
      </c>
      <c r="E115" s="9">
        <v>45078</v>
      </c>
      <c r="F115" s="9">
        <v>45079</v>
      </c>
      <c r="G115" s="10">
        <v>45080</v>
      </c>
    </row>
    <row r="116" spans="1:9" x14ac:dyDescent="0.3">
      <c r="A116" s="5"/>
      <c r="B116" s="5"/>
      <c r="C116" s="5"/>
      <c r="D116" s="5"/>
      <c r="E116" s="5"/>
      <c r="F116" s="5"/>
      <c r="G116" s="5"/>
    </row>
    <row r="117" spans="1:9" ht="16.2" thickBot="1" x14ac:dyDescent="0.35">
      <c r="A117" s="5"/>
      <c r="B117" s="5"/>
      <c r="C117" s="5"/>
      <c r="D117" s="5"/>
      <c r="E117" s="5"/>
      <c r="F117" s="5"/>
      <c r="G117" s="5"/>
    </row>
    <row r="118" spans="1:9" ht="16.2" thickBot="1" x14ac:dyDescent="0.35">
      <c r="A118" s="4"/>
      <c r="B118" s="4"/>
      <c r="C118" s="4"/>
      <c r="D118" s="4"/>
      <c r="E118" s="4"/>
      <c r="F118" s="4"/>
      <c r="G118" s="4"/>
      <c r="H118" s="31">
        <f>SUM(A118:G118)</f>
        <v>0</v>
      </c>
      <c r="I118" s="32">
        <f>SUM(H102,H106,H110,H114,H118)</f>
        <v>118000</v>
      </c>
    </row>
    <row r="119" spans="1:9" ht="16.2" thickBot="1" x14ac:dyDescent="0.35"/>
    <row r="120" spans="1:9" ht="21" thickBot="1" x14ac:dyDescent="0.35">
      <c r="A120" s="99" t="s">
        <v>20</v>
      </c>
      <c r="B120" s="100"/>
      <c r="C120" s="100"/>
      <c r="D120" s="100"/>
      <c r="E120" s="100"/>
      <c r="F120" s="100"/>
      <c r="G120" s="101"/>
    </row>
    <row r="121" spans="1:9" ht="18" thickBot="1" x14ac:dyDescent="0.35">
      <c r="A121" s="13" t="s">
        <v>13</v>
      </c>
      <c r="B121" s="12" t="s">
        <v>12</v>
      </c>
      <c r="C121" s="12" t="s">
        <v>11</v>
      </c>
      <c r="D121" s="12" t="s">
        <v>10</v>
      </c>
      <c r="E121" s="12" t="s">
        <v>9</v>
      </c>
      <c r="F121" s="12" t="s">
        <v>8</v>
      </c>
      <c r="G121" s="11" t="s">
        <v>7</v>
      </c>
    </row>
    <row r="122" spans="1:9" x14ac:dyDescent="0.3">
      <c r="A122" s="10">
        <v>45074</v>
      </c>
      <c r="B122" s="9">
        <v>45075</v>
      </c>
      <c r="C122" s="9">
        <v>45076</v>
      </c>
      <c r="D122" s="9">
        <v>45077</v>
      </c>
      <c r="E122" s="8">
        <v>45078</v>
      </c>
      <c r="F122" s="8">
        <v>45079</v>
      </c>
      <c r="G122" s="7">
        <v>45080</v>
      </c>
    </row>
    <row r="123" spans="1:9" x14ac:dyDescent="0.3">
      <c r="A123" s="5"/>
      <c r="B123" s="5"/>
      <c r="C123" s="5"/>
      <c r="D123" s="5"/>
      <c r="E123" s="5"/>
      <c r="F123" s="5"/>
      <c r="G123" s="5"/>
    </row>
    <row r="124" spans="1:9" ht="16.2" thickBot="1" x14ac:dyDescent="0.35">
      <c r="A124" s="5"/>
      <c r="B124" s="5"/>
      <c r="C124" s="5"/>
      <c r="D124" s="5"/>
      <c r="E124" s="5"/>
      <c r="F124" s="5"/>
      <c r="G124" s="5"/>
    </row>
    <row r="125" spans="1:9" ht="16.2" thickBot="1" x14ac:dyDescent="0.35">
      <c r="A125" s="4"/>
      <c r="B125" s="4"/>
      <c r="C125" s="4"/>
      <c r="D125" s="4"/>
      <c r="E125" s="4"/>
      <c r="F125" s="4"/>
      <c r="G125" s="4"/>
      <c r="H125" s="32">
        <f>SUM(A125:G125)</f>
        <v>0</v>
      </c>
    </row>
    <row r="126" spans="1:9" x14ac:dyDescent="0.3">
      <c r="A126" s="7">
        <v>45081</v>
      </c>
      <c r="B126" s="8">
        <v>45082</v>
      </c>
      <c r="C126" s="8">
        <v>45083</v>
      </c>
      <c r="D126" s="8">
        <v>45084</v>
      </c>
      <c r="E126" s="8">
        <v>45085</v>
      </c>
      <c r="F126" s="8">
        <v>45086</v>
      </c>
      <c r="G126" s="7">
        <v>45087</v>
      </c>
    </row>
    <row r="127" spans="1:9" x14ac:dyDescent="0.3">
      <c r="A127" s="5"/>
      <c r="B127" s="5"/>
      <c r="C127" s="5"/>
      <c r="D127" s="44" t="s">
        <v>48</v>
      </c>
      <c r="E127" s="44" t="s">
        <v>48</v>
      </c>
      <c r="F127" s="44" t="s">
        <v>48</v>
      </c>
      <c r="G127" s="44" t="s">
        <v>48</v>
      </c>
    </row>
    <row r="128" spans="1:9" ht="16.2" thickBot="1" x14ac:dyDescent="0.35">
      <c r="A128" s="5"/>
      <c r="B128" s="5"/>
      <c r="C128" s="5"/>
      <c r="D128" s="5" t="s">
        <v>47</v>
      </c>
      <c r="E128" s="5"/>
      <c r="F128" s="5"/>
      <c r="G128" s="5"/>
    </row>
    <row r="129" spans="1:9" ht="16.2" thickBot="1" x14ac:dyDescent="0.35">
      <c r="A129" s="4"/>
      <c r="B129" s="4"/>
      <c r="C129" s="4"/>
      <c r="D129" s="3">
        <v>14000</v>
      </c>
      <c r="E129" s="45">
        <v>14000</v>
      </c>
      <c r="F129" s="45">
        <v>14000</v>
      </c>
      <c r="G129" s="45">
        <v>14000</v>
      </c>
      <c r="H129" s="32">
        <f>SUM(A129:G129)</f>
        <v>56000</v>
      </c>
    </row>
    <row r="130" spans="1:9" x14ac:dyDescent="0.3">
      <c r="A130" s="7">
        <v>45088</v>
      </c>
      <c r="B130" s="8">
        <v>45089</v>
      </c>
      <c r="C130" s="8">
        <v>45090</v>
      </c>
      <c r="D130" s="8">
        <v>45091</v>
      </c>
      <c r="E130" s="8">
        <v>45092</v>
      </c>
      <c r="F130" s="8">
        <v>45093</v>
      </c>
      <c r="G130" s="7">
        <v>45094</v>
      </c>
    </row>
    <row r="131" spans="1:9" x14ac:dyDescent="0.3">
      <c r="A131" s="44" t="s">
        <v>48</v>
      </c>
      <c r="B131" s="44" t="s">
        <v>48</v>
      </c>
      <c r="C131" s="44" t="s">
        <v>48</v>
      </c>
      <c r="D131" s="5"/>
      <c r="E131" s="5"/>
      <c r="F131" s="5"/>
      <c r="G131" s="5"/>
    </row>
    <row r="132" spans="1:9" ht="16.2" thickBot="1" x14ac:dyDescent="0.35">
      <c r="A132" s="5"/>
      <c r="B132" s="5"/>
      <c r="C132" s="5"/>
      <c r="D132" s="5"/>
      <c r="E132" s="5"/>
      <c r="F132" s="5"/>
      <c r="G132" s="5"/>
    </row>
    <row r="133" spans="1:9" ht="16.2" thickBot="1" x14ac:dyDescent="0.35">
      <c r="A133" s="45">
        <v>14000</v>
      </c>
      <c r="B133" s="45">
        <v>14000</v>
      </c>
      <c r="C133" s="45">
        <v>14000</v>
      </c>
      <c r="D133" s="4"/>
      <c r="E133" s="4"/>
      <c r="F133" s="4"/>
      <c r="G133" s="4"/>
      <c r="H133" s="32">
        <f>SUM(A133:G133)</f>
        <v>42000</v>
      </c>
    </row>
    <row r="134" spans="1:9" x14ac:dyDescent="0.3">
      <c r="A134" s="7">
        <v>45095</v>
      </c>
      <c r="B134" s="8">
        <v>45096</v>
      </c>
      <c r="C134" s="8">
        <v>45097</v>
      </c>
      <c r="D134" s="8">
        <v>45098</v>
      </c>
      <c r="E134" s="8">
        <v>45099</v>
      </c>
      <c r="F134" s="8">
        <v>45100</v>
      </c>
      <c r="G134" s="7">
        <v>45101</v>
      </c>
    </row>
    <row r="135" spans="1:9" x14ac:dyDescent="0.3">
      <c r="A135" s="5"/>
      <c r="B135" s="5"/>
      <c r="C135" s="5"/>
      <c r="D135" s="5"/>
      <c r="E135" s="5"/>
      <c r="F135" s="5"/>
      <c r="G135" s="5"/>
    </row>
    <row r="136" spans="1:9" ht="16.2" thickBot="1" x14ac:dyDescent="0.35">
      <c r="A136" s="5"/>
      <c r="B136" s="5"/>
      <c r="C136" s="5"/>
      <c r="D136" s="5"/>
      <c r="E136" s="5"/>
      <c r="F136" s="5"/>
      <c r="G136" s="5"/>
    </row>
    <row r="137" spans="1:9" ht="16.2" thickBot="1" x14ac:dyDescent="0.35">
      <c r="A137" s="4"/>
      <c r="B137" s="4"/>
      <c r="C137" s="4"/>
      <c r="D137" s="4"/>
      <c r="E137" s="4"/>
      <c r="F137" s="4"/>
      <c r="G137" s="4"/>
      <c r="H137" s="32">
        <f>SUM(A137:G137)</f>
        <v>0</v>
      </c>
    </row>
    <row r="138" spans="1:9" x14ac:dyDescent="0.3">
      <c r="A138" s="7">
        <v>45102</v>
      </c>
      <c r="B138" s="8">
        <v>45103</v>
      </c>
      <c r="C138" s="8">
        <v>45104</v>
      </c>
      <c r="D138" s="8">
        <v>45105</v>
      </c>
      <c r="E138" s="8">
        <v>45106</v>
      </c>
      <c r="F138" s="8">
        <v>45107</v>
      </c>
      <c r="G138" s="10">
        <v>45108</v>
      </c>
    </row>
    <row r="139" spans="1:9" x14ac:dyDescent="0.3">
      <c r="A139" s="5"/>
      <c r="B139" s="5"/>
      <c r="C139" s="5"/>
      <c r="D139" s="5"/>
      <c r="E139" s="5"/>
      <c r="F139" s="5"/>
      <c r="G139" s="5"/>
    </row>
    <row r="140" spans="1:9" ht="16.2" thickBot="1" x14ac:dyDescent="0.35">
      <c r="A140" s="5"/>
      <c r="B140" s="5"/>
      <c r="C140" s="5"/>
      <c r="D140" s="5"/>
      <c r="E140" s="5"/>
      <c r="F140" s="5"/>
      <c r="G140" s="5"/>
    </row>
    <row r="141" spans="1:9" ht="16.2" thickBot="1" x14ac:dyDescent="0.35">
      <c r="A141" s="4"/>
      <c r="B141" s="4"/>
      <c r="C141" s="4"/>
      <c r="D141" s="4"/>
      <c r="E141" s="4"/>
      <c r="F141" s="4"/>
      <c r="G141" s="4"/>
      <c r="H141" s="31">
        <f>SUM(A141:G141)</f>
        <v>0</v>
      </c>
      <c r="I141" s="32">
        <f>SUM(H125,H129,H133,H137,H141)</f>
        <v>98000</v>
      </c>
    </row>
    <row r="142" spans="1:9" ht="16.2" thickBot="1" x14ac:dyDescent="0.35"/>
    <row r="143" spans="1:9" ht="21" thickBot="1" x14ac:dyDescent="0.35">
      <c r="A143" s="99" t="s">
        <v>19</v>
      </c>
      <c r="B143" s="100"/>
      <c r="C143" s="100"/>
      <c r="D143" s="100"/>
      <c r="E143" s="100"/>
      <c r="F143" s="100"/>
      <c r="G143" s="101"/>
    </row>
    <row r="144" spans="1:9" ht="18" thickBot="1" x14ac:dyDescent="0.35">
      <c r="A144" s="13" t="s">
        <v>13</v>
      </c>
      <c r="B144" s="12" t="s">
        <v>12</v>
      </c>
      <c r="C144" s="12" t="s">
        <v>11</v>
      </c>
      <c r="D144" s="12" t="s">
        <v>10</v>
      </c>
      <c r="E144" s="12" t="s">
        <v>9</v>
      </c>
      <c r="F144" s="12" t="s">
        <v>8</v>
      </c>
      <c r="G144" s="11" t="s">
        <v>7</v>
      </c>
    </row>
    <row r="145" spans="1:8" x14ac:dyDescent="0.3">
      <c r="A145" s="10">
        <v>45102</v>
      </c>
      <c r="B145" s="9">
        <v>45103</v>
      </c>
      <c r="C145" s="9">
        <v>45104</v>
      </c>
      <c r="D145" s="9">
        <v>45105</v>
      </c>
      <c r="E145" s="9">
        <v>45106</v>
      </c>
      <c r="F145" s="9">
        <v>45107</v>
      </c>
      <c r="G145" s="7">
        <v>45108</v>
      </c>
    </row>
    <row r="146" spans="1:8" x14ac:dyDescent="0.3">
      <c r="A146" s="5"/>
      <c r="B146" s="5"/>
      <c r="C146" s="5"/>
      <c r="D146" s="5"/>
      <c r="E146" s="5"/>
      <c r="F146" s="5"/>
      <c r="G146" s="5"/>
    </row>
    <row r="147" spans="1:8" ht="16.2" thickBot="1" x14ac:dyDescent="0.35">
      <c r="A147" s="5"/>
      <c r="B147" s="5"/>
      <c r="C147" s="5"/>
      <c r="D147" s="5"/>
      <c r="E147" s="5"/>
      <c r="F147" s="5"/>
      <c r="G147" s="5"/>
    </row>
    <row r="148" spans="1:8" ht="16.2" thickBot="1" x14ac:dyDescent="0.35">
      <c r="A148" s="4"/>
      <c r="B148" s="4"/>
      <c r="C148" s="4"/>
      <c r="D148" s="4"/>
      <c r="E148" s="4"/>
      <c r="F148" s="4"/>
      <c r="G148" s="4"/>
      <c r="H148" s="32">
        <f>SUM(A148:G148)</f>
        <v>0</v>
      </c>
    </row>
    <row r="149" spans="1:8" x14ac:dyDescent="0.3">
      <c r="A149" s="7">
        <v>45109</v>
      </c>
      <c r="B149" s="8">
        <v>45110</v>
      </c>
      <c r="C149" s="8">
        <v>45111</v>
      </c>
      <c r="D149" s="8">
        <v>45112</v>
      </c>
      <c r="E149" s="8">
        <v>45113</v>
      </c>
      <c r="F149" s="8">
        <v>45114</v>
      </c>
      <c r="G149" s="7">
        <v>45115</v>
      </c>
    </row>
    <row r="150" spans="1:8" x14ac:dyDescent="0.3">
      <c r="A150" s="5"/>
      <c r="B150" s="5"/>
      <c r="C150" s="5"/>
      <c r="D150" s="5"/>
      <c r="E150" s="5"/>
      <c r="F150" s="5"/>
      <c r="G150" s="5"/>
    </row>
    <row r="151" spans="1:8" ht="16.2" thickBot="1" x14ac:dyDescent="0.35">
      <c r="A151" s="5"/>
      <c r="B151" s="5"/>
      <c r="C151" s="5"/>
      <c r="D151" s="5"/>
      <c r="E151" s="5"/>
      <c r="F151" s="5"/>
      <c r="G151" s="5"/>
      <c r="H151" s="34"/>
    </row>
    <row r="152" spans="1:8" ht="16.2" thickBot="1" x14ac:dyDescent="0.35">
      <c r="A152" s="4"/>
      <c r="B152" s="4"/>
      <c r="C152" s="4"/>
      <c r="D152" s="4"/>
      <c r="E152" s="4"/>
      <c r="F152" s="4"/>
      <c r="G152" s="4"/>
      <c r="H152" s="32">
        <f>SUM(A152:G152)</f>
        <v>0</v>
      </c>
    </row>
    <row r="153" spans="1:8" x14ac:dyDescent="0.3">
      <c r="A153" s="7">
        <v>45116</v>
      </c>
      <c r="B153" s="8">
        <v>45117</v>
      </c>
      <c r="C153" s="8">
        <v>45118</v>
      </c>
      <c r="D153" s="8">
        <v>45119</v>
      </c>
      <c r="E153" s="8">
        <v>45120</v>
      </c>
      <c r="F153" s="8">
        <v>45121</v>
      </c>
      <c r="G153" s="7">
        <v>45122</v>
      </c>
    </row>
    <row r="154" spans="1:8" x14ac:dyDescent="0.3">
      <c r="A154" s="5"/>
      <c r="B154" s="5"/>
      <c r="C154" s="5"/>
      <c r="D154" s="5"/>
      <c r="E154" s="5"/>
      <c r="F154" s="5"/>
      <c r="G154" s="5"/>
    </row>
    <row r="155" spans="1:8" ht="16.2" thickBot="1" x14ac:dyDescent="0.35">
      <c r="A155" s="5"/>
      <c r="B155" s="5"/>
      <c r="C155" s="5"/>
      <c r="D155" s="5"/>
      <c r="E155" s="5"/>
      <c r="F155" s="5"/>
      <c r="G155" s="5"/>
    </row>
    <row r="156" spans="1:8" ht="16.2" thickBot="1" x14ac:dyDescent="0.35">
      <c r="A156" s="4"/>
      <c r="B156" s="4"/>
      <c r="C156" s="4"/>
      <c r="D156" s="4"/>
      <c r="E156" s="4"/>
      <c r="F156" s="4"/>
      <c r="G156" s="4"/>
      <c r="H156" s="32">
        <f>SUM(A156:G156)</f>
        <v>0</v>
      </c>
    </row>
    <row r="157" spans="1:8" x14ac:dyDescent="0.3">
      <c r="A157" s="7">
        <v>45123</v>
      </c>
      <c r="B157" s="8">
        <v>45124</v>
      </c>
      <c r="C157" s="8">
        <v>45125</v>
      </c>
      <c r="D157" s="8">
        <v>45126</v>
      </c>
      <c r="E157" s="8">
        <v>45127</v>
      </c>
      <c r="F157" s="8">
        <v>45128</v>
      </c>
      <c r="G157" s="7">
        <v>45129</v>
      </c>
    </row>
    <row r="158" spans="1:8" x14ac:dyDescent="0.3">
      <c r="A158" s="5"/>
      <c r="B158" s="5"/>
      <c r="C158" s="5"/>
      <c r="D158" s="5"/>
      <c r="E158" s="5"/>
      <c r="F158" s="5"/>
      <c r="G158" s="5"/>
    </row>
    <row r="159" spans="1:8" ht="16.2" thickBot="1" x14ac:dyDescent="0.35">
      <c r="A159" s="5"/>
      <c r="B159" s="5"/>
      <c r="C159" s="5"/>
      <c r="D159" s="5"/>
      <c r="E159" s="5"/>
      <c r="F159" s="5"/>
      <c r="G159" s="5"/>
    </row>
    <row r="160" spans="1:8" ht="16.2" thickBot="1" x14ac:dyDescent="0.35">
      <c r="A160" s="4"/>
      <c r="B160" s="4"/>
      <c r="C160" s="4"/>
      <c r="D160" s="4"/>
      <c r="E160" s="4"/>
      <c r="F160" s="4"/>
      <c r="G160" s="4"/>
      <c r="H160" s="32">
        <f>SUM(A160:G160)</f>
        <v>0</v>
      </c>
    </row>
    <row r="161" spans="1:9" x14ac:dyDescent="0.3">
      <c r="A161" s="7">
        <v>45130</v>
      </c>
      <c r="B161" s="8">
        <v>45131</v>
      </c>
      <c r="C161" s="8">
        <v>45132</v>
      </c>
      <c r="D161" s="8">
        <v>45133</v>
      </c>
      <c r="E161" s="8">
        <v>45134</v>
      </c>
      <c r="F161" s="8">
        <v>45135</v>
      </c>
      <c r="G161" s="7">
        <v>45136</v>
      </c>
    </row>
    <row r="162" spans="1:9" x14ac:dyDescent="0.3">
      <c r="A162" s="5"/>
      <c r="B162" s="5"/>
      <c r="C162" s="5"/>
      <c r="D162" s="5"/>
      <c r="E162" s="5"/>
      <c r="F162" s="5"/>
      <c r="G162" s="5"/>
    </row>
    <row r="163" spans="1:9" ht="16.2" thickBot="1" x14ac:dyDescent="0.35">
      <c r="A163" s="5"/>
      <c r="B163" s="5"/>
      <c r="C163" s="5"/>
      <c r="D163" s="5"/>
      <c r="E163" s="5"/>
      <c r="F163" s="5"/>
      <c r="G163" s="5"/>
    </row>
    <row r="164" spans="1:9" ht="16.2" thickBot="1" x14ac:dyDescent="0.35">
      <c r="A164" s="4"/>
      <c r="B164" s="4"/>
      <c r="C164" s="4"/>
      <c r="D164" s="4"/>
      <c r="E164" s="4"/>
      <c r="F164" s="4"/>
      <c r="G164" s="4"/>
      <c r="H164" s="32">
        <f>SUM(A164:G164)</f>
        <v>0</v>
      </c>
    </row>
    <row r="165" spans="1:9" x14ac:dyDescent="0.3">
      <c r="A165" s="7">
        <v>45137</v>
      </c>
      <c r="B165" s="8">
        <v>45138</v>
      </c>
      <c r="C165" s="9">
        <v>45139</v>
      </c>
      <c r="D165" s="9">
        <v>45140</v>
      </c>
      <c r="E165" s="9">
        <v>45141</v>
      </c>
      <c r="F165" s="9">
        <v>45142</v>
      </c>
      <c r="G165" s="10">
        <v>45143</v>
      </c>
    </row>
    <row r="166" spans="1:9" x14ac:dyDescent="0.3">
      <c r="A166" s="18"/>
      <c r="B166" s="5"/>
      <c r="C166" s="5"/>
      <c r="D166" s="5"/>
      <c r="E166" s="5"/>
      <c r="F166" s="5"/>
      <c r="G166" s="18"/>
    </row>
    <row r="167" spans="1:9" ht="16.2" thickBot="1" x14ac:dyDescent="0.35">
      <c r="A167" s="18"/>
      <c r="B167" s="5"/>
      <c r="C167" s="5"/>
      <c r="D167" s="5"/>
      <c r="E167" s="5"/>
      <c r="F167" s="5"/>
      <c r="G167" s="18"/>
    </row>
    <row r="168" spans="1:9" ht="16.2" thickBot="1" x14ac:dyDescent="0.35">
      <c r="A168" s="16"/>
      <c r="B168" s="4"/>
      <c r="C168" s="4"/>
      <c r="D168" s="4"/>
      <c r="E168" s="4"/>
      <c r="F168" s="4"/>
      <c r="G168" s="16"/>
      <c r="H168" s="31">
        <f>SUM(A168:G168)</f>
        <v>0</v>
      </c>
      <c r="I168" s="32">
        <f>SUM(H152,H156,H160,H164,H168)</f>
        <v>0</v>
      </c>
    </row>
    <row r="169" spans="1:9" ht="16.2" thickBot="1" x14ac:dyDescent="0.35"/>
    <row r="170" spans="1:9" ht="21" thickBot="1" x14ac:dyDescent="0.35">
      <c r="A170" s="99" t="s">
        <v>18</v>
      </c>
      <c r="B170" s="100"/>
      <c r="C170" s="100"/>
      <c r="D170" s="100"/>
      <c r="E170" s="100"/>
      <c r="F170" s="100"/>
      <c r="G170" s="101"/>
    </row>
    <row r="171" spans="1:9" ht="18" thickBot="1" x14ac:dyDescent="0.35">
      <c r="A171" s="13" t="s">
        <v>13</v>
      </c>
      <c r="B171" s="12" t="s">
        <v>12</v>
      </c>
      <c r="C171" s="12" t="s">
        <v>11</v>
      </c>
      <c r="D171" s="12" t="s">
        <v>10</v>
      </c>
      <c r="E171" s="12" t="s">
        <v>9</v>
      </c>
      <c r="F171" s="12" t="s">
        <v>8</v>
      </c>
      <c r="G171" s="11" t="s">
        <v>7</v>
      </c>
    </row>
    <row r="172" spans="1:9" x14ac:dyDescent="0.3">
      <c r="A172" s="10">
        <v>45137</v>
      </c>
      <c r="B172" s="9">
        <v>45138</v>
      </c>
      <c r="C172" s="8">
        <v>45139</v>
      </c>
      <c r="D172" s="8">
        <v>45140</v>
      </c>
      <c r="E172" s="8">
        <v>45141</v>
      </c>
      <c r="F172" s="8">
        <v>45142</v>
      </c>
      <c r="G172" s="7">
        <v>45143</v>
      </c>
    </row>
    <row r="173" spans="1:9" x14ac:dyDescent="0.3">
      <c r="A173" s="5"/>
      <c r="B173" s="5"/>
      <c r="C173" s="5"/>
      <c r="D173" s="5"/>
      <c r="E173" s="5"/>
      <c r="F173" s="5"/>
      <c r="G173" s="5"/>
    </row>
    <row r="174" spans="1:9" ht="16.2" thickBot="1" x14ac:dyDescent="0.35">
      <c r="A174" s="5"/>
      <c r="B174" s="5"/>
      <c r="C174" s="5"/>
      <c r="D174" s="5"/>
      <c r="E174" s="5"/>
      <c r="F174" s="5"/>
      <c r="G174" s="5"/>
    </row>
    <row r="175" spans="1:9" ht="16.2" thickBot="1" x14ac:dyDescent="0.35">
      <c r="A175" s="4"/>
      <c r="B175" s="4"/>
      <c r="C175" s="4"/>
      <c r="D175" s="4"/>
      <c r="E175" s="4"/>
      <c r="F175" s="4"/>
      <c r="G175" s="4"/>
      <c r="H175" s="32">
        <f>SUM(A175:G175)</f>
        <v>0</v>
      </c>
    </row>
    <row r="176" spans="1:9" x14ac:dyDescent="0.3">
      <c r="A176" s="7">
        <v>45144</v>
      </c>
      <c r="B176" s="8">
        <v>45145</v>
      </c>
      <c r="C176" s="8">
        <v>45146</v>
      </c>
      <c r="D176" s="8">
        <v>45147</v>
      </c>
      <c r="E176" s="8">
        <v>45148</v>
      </c>
      <c r="F176" s="8">
        <v>45149</v>
      </c>
      <c r="G176" s="7">
        <v>45150</v>
      </c>
    </row>
    <row r="177" spans="1:9" x14ac:dyDescent="0.3">
      <c r="A177" s="5"/>
      <c r="B177" s="5"/>
      <c r="C177" s="5"/>
      <c r="D177" s="5"/>
      <c r="E177" s="5"/>
      <c r="F177" s="5"/>
      <c r="G177" s="5"/>
    </row>
    <row r="178" spans="1:9" ht="16.2" thickBot="1" x14ac:dyDescent="0.35">
      <c r="A178" s="5"/>
      <c r="B178" s="5"/>
      <c r="C178" s="5"/>
      <c r="D178" s="5"/>
      <c r="E178" s="5"/>
      <c r="F178" s="5"/>
      <c r="G178" s="5"/>
    </row>
    <row r="179" spans="1:9" ht="16.2" thickBot="1" x14ac:dyDescent="0.35">
      <c r="A179" s="4"/>
      <c r="B179" s="4"/>
      <c r="C179" s="4"/>
      <c r="D179" s="4"/>
      <c r="E179" s="4"/>
      <c r="F179" s="4"/>
      <c r="G179" s="4"/>
      <c r="H179" s="32">
        <f>SUM(A179:G179)</f>
        <v>0</v>
      </c>
    </row>
    <row r="180" spans="1:9" x14ac:dyDescent="0.3">
      <c r="A180" s="7">
        <v>45151</v>
      </c>
      <c r="B180" s="8">
        <v>45152</v>
      </c>
      <c r="C180" s="8">
        <v>45153</v>
      </c>
      <c r="D180" s="8">
        <v>45154</v>
      </c>
      <c r="E180" s="8">
        <v>45155</v>
      </c>
      <c r="F180" s="8">
        <v>45156</v>
      </c>
      <c r="G180" s="7">
        <v>45157</v>
      </c>
    </row>
    <row r="181" spans="1:9" x14ac:dyDescent="0.3">
      <c r="A181" s="5"/>
      <c r="B181" s="5"/>
      <c r="C181" s="5"/>
      <c r="D181" s="5"/>
      <c r="E181" s="5"/>
      <c r="F181" s="5"/>
      <c r="G181" s="5"/>
    </row>
    <row r="182" spans="1:9" ht="16.2" thickBot="1" x14ac:dyDescent="0.35">
      <c r="A182" s="5"/>
      <c r="B182" s="5"/>
      <c r="C182" s="5"/>
      <c r="D182" s="5"/>
      <c r="E182" s="5"/>
      <c r="F182" s="5"/>
      <c r="G182" s="5"/>
    </row>
    <row r="183" spans="1:9" ht="16.2" thickBot="1" x14ac:dyDescent="0.35">
      <c r="A183" s="4"/>
      <c r="B183" s="4"/>
      <c r="C183" s="4"/>
      <c r="D183" s="4"/>
      <c r="E183" s="4"/>
      <c r="F183" s="4"/>
      <c r="G183" s="4"/>
      <c r="H183" s="32">
        <f>SUM(A183:G183)</f>
        <v>0</v>
      </c>
    </row>
    <row r="184" spans="1:9" x14ac:dyDescent="0.3">
      <c r="A184" s="7">
        <v>45158</v>
      </c>
      <c r="B184" s="8">
        <v>45159</v>
      </c>
      <c r="C184" s="8">
        <v>45160</v>
      </c>
      <c r="D184" s="8">
        <v>45161</v>
      </c>
      <c r="E184" s="8">
        <v>45162</v>
      </c>
      <c r="F184" s="8">
        <v>45163</v>
      </c>
      <c r="G184" s="7">
        <v>45164</v>
      </c>
    </row>
    <row r="185" spans="1:9" x14ac:dyDescent="0.3">
      <c r="A185" s="5"/>
      <c r="B185" s="5"/>
      <c r="C185" s="5"/>
      <c r="D185" s="5"/>
      <c r="E185" s="5"/>
      <c r="F185" s="5"/>
      <c r="G185" s="5"/>
    </row>
    <row r="186" spans="1:9" ht="16.2" thickBot="1" x14ac:dyDescent="0.35">
      <c r="A186" s="5"/>
      <c r="B186" s="5"/>
      <c r="C186" s="5"/>
      <c r="D186" s="5"/>
      <c r="E186" s="5"/>
      <c r="F186" s="5"/>
      <c r="G186" s="5"/>
    </row>
    <row r="187" spans="1:9" ht="16.2" thickBot="1" x14ac:dyDescent="0.35">
      <c r="A187" s="4"/>
      <c r="B187" s="4"/>
      <c r="C187" s="4"/>
      <c r="D187" s="4"/>
      <c r="E187" s="4"/>
      <c r="F187" s="4"/>
      <c r="G187" s="4"/>
      <c r="H187" s="32">
        <f>SUM(A187:G187)</f>
        <v>0</v>
      </c>
    </row>
    <row r="188" spans="1:9" x14ac:dyDescent="0.3">
      <c r="A188" s="7">
        <v>45165</v>
      </c>
      <c r="B188" s="8">
        <v>45166</v>
      </c>
      <c r="C188" s="8">
        <v>45167</v>
      </c>
      <c r="D188" s="8">
        <v>45168</v>
      </c>
      <c r="E188" s="8">
        <v>45169</v>
      </c>
      <c r="F188" s="9">
        <v>45170</v>
      </c>
      <c r="G188" s="10">
        <v>45171</v>
      </c>
    </row>
    <row r="189" spans="1:9" x14ac:dyDescent="0.3">
      <c r="A189" s="5"/>
      <c r="B189" s="5"/>
      <c r="C189" s="5"/>
      <c r="D189" s="5"/>
      <c r="E189" s="5"/>
      <c r="F189" s="5"/>
      <c r="G189" s="5"/>
    </row>
    <row r="190" spans="1:9" ht="16.2" thickBot="1" x14ac:dyDescent="0.35">
      <c r="A190" s="5"/>
      <c r="B190" s="5"/>
      <c r="C190" s="5"/>
      <c r="D190" s="5"/>
      <c r="E190" s="5"/>
      <c r="F190" s="5"/>
      <c r="G190" s="5"/>
    </row>
    <row r="191" spans="1:9" ht="16.2" thickBot="1" x14ac:dyDescent="0.35">
      <c r="A191" s="4"/>
      <c r="B191" s="4"/>
      <c r="C191" s="4"/>
      <c r="D191" s="4"/>
      <c r="E191" s="4"/>
      <c r="F191" s="4"/>
      <c r="G191" s="4"/>
      <c r="H191" s="31">
        <f>SUM(A191:G191)</f>
        <v>0</v>
      </c>
      <c r="I191" s="32">
        <f>SUM(H175,H179,H183,H187,H191)</f>
        <v>0</v>
      </c>
    </row>
    <row r="192" spans="1:9" ht="16.2" thickBot="1" x14ac:dyDescent="0.35"/>
    <row r="193" spans="1:8" ht="21" thickBot="1" x14ac:dyDescent="0.35">
      <c r="A193" s="99" t="s">
        <v>17</v>
      </c>
      <c r="B193" s="100"/>
      <c r="C193" s="100"/>
      <c r="D193" s="100"/>
      <c r="E193" s="100"/>
      <c r="F193" s="100"/>
      <c r="G193" s="101"/>
    </row>
    <row r="194" spans="1:8" ht="18" thickBot="1" x14ac:dyDescent="0.35">
      <c r="A194" s="13" t="s">
        <v>13</v>
      </c>
      <c r="B194" s="12" t="s">
        <v>12</v>
      </c>
      <c r="C194" s="12" t="s">
        <v>11</v>
      </c>
      <c r="D194" s="12" t="s">
        <v>10</v>
      </c>
      <c r="E194" s="12" t="s">
        <v>9</v>
      </c>
      <c r="F194" s="12" t="s">
        <v>8</v>
      </c>
      <c r="G194" s="11" t="s">
        <v>7</v>
      </c>
    </row>
    <row r="195" spans="1:8" x14ac:dyDescent="0.3">
      <c r="A195" s="10">
        <v>45165</v>
      </c>
      <c r="B195" s="9">
        <v>45166</v>
      </c>
      <c r="C195" s="9">
        <v>45167</v>
      </c>
      <c r="D195" s="9">
        <v>45168</v>
      </c>
      <c r="E195" s="9">
        <v>45169</v>
      </c>
      <c r="F195" s="8">
        <v>45170</v>
      </c>
      <c r="G195" s="7">
        <v>45171</v>
      </c>
    </row>
    <row r="196" spans="1:8" x14ac:dyDescent="0.3">
      <c r="A196" s="5"/>
      <c r="B196" s="5"/>
      <c r="C196" s="5"/>
      <c r="D196" s="5"/>
      <c r="E196" s="5"/>
      <c r="F196" s="5"/>
      <c r="G196" s="5"/>
    </row>
    <row r="197" spans="1:8" ht="16.2" thickBot="1" x14ac:dyDescent="0.35">
      <c r="A197" s="5"/>
      <c r="B197" s="5"/>
      <c r="C197" s="5"/>
      <c r="D197" s="5"/>
      <c r="E197" s="5"/>
      <c r="F197" s="5"/>
      <c r="G197" s="5"/>
    </row>
    <row r="198" spans="1:8" ht="16.2" thickBot="1" x14ac:dyDescent="0.35">
      <c r="A198" s="4"/>
      <c r="B198" s="4"/>
      <c r="C198" s="4"/>
      <c r="D198" s="4"/>
      <c r="E198" s="4"/>
      <c r="F198" s="4"/>
      <c r="G198" s="4"/>
      <c r="H198" s="32">
        <f>SUM(A198:G198)</f>
        <v>0</v>
      </c>
    </row>
    <row r="199" spans="1:8" x14ac:dyDescent="0.3">
      <c r="A199" s="7">
        <v>45172</v>
      </c>
      <c r="B199" s="8">
        <v>45173</v>
      </c>
      <c r="C199" s="8">
        <v>45174</v>
      </c>
      <c r="D199" s="8">
        <v>45175</v>
      </c>
      <c r="E199" s="8">
        <v>45176</v>
      </c>
      <c r="F199" s="8">
        <v>45177</v>
      </c>
      <c r="G199" s="7">
        <v>45178</v>
      </c>
    </row>
    <row r="200" spans="1:8" x14ac:dyDescent="0.3">
      <c r="A200" s="5"/>
      <c r="B200" s="5"/>
      <c r="C200" s="5"/>
      <c r="D200" s="5"/>
      <c r="E200" s="5"/>
      <c r="F200" s="5"/>
      <c r="G200" s="5"/>
    </row>
    <row r="201" spans="1:8" ht="16.2" thickBot="1" x14ac:dyDescent="0.35">
      <c r="A201" s="5"/>
      <c r="B201" s="5"/>
      <c r="C201" s="5"/>
      <c r="D201" s="5"/>
      <c r="E201" s="5"/>
      <c r="F201" s="5"/>
      <c r="G201" s="5"/>
    </row>
    <row r="202" spans="1:8" ht="16.2" thickBot="1" x14ac:dyDescent="0.35">
      <c r="A202" s="4"/>
      <c r="B202" s="4"/>
      <c r="C202" s="4"/>
      <c r="D202" s="4"/>
      <c r="E202" s="4"/>
      <c r="F202" s="4"/>
      <c r="G202" s="4"/>
      <c r="H202" s="32">
        <f>SUM(A202:G202)</f>
        <v>0</v>
      </c>
    </row>
    <row r="203" spans="1:8" x14ac:dyDescent="0.3">
      <c r="A203" s="7">
        <v>45179</v>
      </c>
      <c r="B203" s="8">
        <v>45180</v>
      </c>
      <c r="C203" s="8">
        <v>45181</v>
      </c>
      <c r="D203" s="8">
        <v>45182</v>
      </c>
      <c r="E203" s="8">
        <v>45183</v>
      </c>
      <c r="F203" s="8">
        <v>45184</v>
      </c>
      <c r="G203" s="7">
        <v>45185</v>
      </c>
    </row>
    <row r="204" spans="1:8" x14ac:dyDescent="0.3">
      <c r="A204" s="5"/>
      <c r="B204" s="5"/>
      <c r="C204" s="5"/>
      <c r="D204" s="5"/>
      <c r="E204" s="5"/>
      <c r="F204" s="5"/>
      <c r="G204" s="5"/>
    </row>
    <row r="205" spans="1:8" ht="16.2" thickBot="1" x14ac:dyDescent="0.35">
      <c r="A205" s="5"/>
      <c r="B205" s="5"/>
      <c r="C205" s="5"/>
      <c r="D205" s="5"/>
      <c r="E205" s="5"/>
      <c r="F205" s="5"/>
      <c r="G205" s="5"/>
    </row>
    <row r="206" spans="1:8" ht="16.2" thickBot="1" x14ac:dyDescent="0.35">
      <c r="A206" s="4"/>
      <c r="B206" s="4"/>
      <c r="C206" s="4"/>
      <c r="D206" s="4"/>
      <c r="E206" s="4"/>
      <c r="F206" s="4"/>
      <c r="G206" s="4"/>
      <c r="H206" s="32">
        <f>SUM(A206:G206)</f>
        <v>0</v>
      </c>
    </row>
    <row r="207" spans="1:8" x14ac:dyDescent="0.3">
      <c r="A207" s="7">
        <v>45186</v>
      </c>
      <c r="B207" s="8">
        <v>45187</v>
      </c>
      <c r="C207" s="8">
        <v>45188</v>
      </c>
      <c r="D207" s="8">
        <v>45189</v>
      </c>
      <c r="E207" s="8">
        <v>45190</v>
      </c>
      <c r="F207" s="8">
        <v>45191</v>
      </c>
      <c r="G207" s="7">
        <v>45192</v>
      </c>
    </row>
    <row r="208" spans="1:8" x14ac:dyDescent="0.3">
      <c r="A208" s="5"/>
      <c r="B208" s="5"/>
      <c r="C208" s="5"/>
      <c r="D208" s="5"/>
      <c r="E208" s="5"/>
      <c r="F208" s="5"/>
      <c r="G208" s="5"/>
    </row>
    <row r="209" spans="1:9" ht="16.2" thickBot="1" x14ac:dyDescent="0.35">
      <c r="A209" s="5"/>
      <c r="B209" s="5"/>
      <c r="C209" s="5"/>
      <c r="D209" s="5"/>
      <c r="E209" s="5"/>
      <c r="F209" s="5"/>
      <c r="G209" s="5"/>
    </row>
    <row r="210" spans="1:9" ht="16.2" thickBot="1" x14ac:dyDescent="0.35">
      <c r="A210" s="4"/>
      <c r="B210" s="4"/>
      <c r="C210" s="4"/>
      <c r="D210" s="4"/>
      <c r="E210" s="4"/>
      <c r="F210" s="4"/>
      <c r="G210" s="4"/>
      <c r="H210" s="32">
        <f>SUM(A210:G210)</f>
        <v>0</v>
      </c>
    </row>
    <row r="211" spans="1:9" x14ac:dyDescent="0.3">
      <c r="A211" s="7">
        <v>45193</v>
      </c>
      <c r="B211" s="8">
        <v>45194</v>
      </c>
      <c r="C211" s="8">
        <v>45195</v>
      </c>
      <c r="D211" s="8">
        <v>45196</v>
      </c>
      <c r="E211" s="8">
        <v>45197</v>
      </c>
      <c r="F211" s="8">
        <v>45198</v>
      </c>
      <c r="G211" s="7">
        <v>45199</v>
      </c>
    </row>
    <row r="212" spans="1:9" x14ac:dyDescent="0.3">
      <c r="A212" s="5"/>
      <c r="B212" s="5"/>
      <c r="C212" s="5"/>
      <c r="D212" s="5"/>
      <c r="E212" s="5"/>
      <c r="F212" s="5"/>
      <c r="G212" s="5"/>
    </row>
    <row r="213" spans="1:9" ht="16.2" thickBot="1" x14ac:dyDescent="0.35">
      <c r="A213" s="5"/>
      <c r="B213" s="5"/>
      <c r="C213" s="5"/>
      <c r="D213" s="5"/>
      <c r="E213" s="5"/>
      <c r="F213" s="5"/>
      <c r="G213" s="5"/>
    </row>
    <row r="214" spans="1:9" ht="16.2" thickBot="1" x14ac:dyDescent="0.35">
      <c r="A214" s="4"/>
      <c r="B214" s="4"/>
      <c r="C214" s="4"/>
      <c r="D214" s="4"/>
      <c r="E214" s="4"/>
      <c r="F214" s="4"/>
      <c r="G214" s="4"/>
      <c r="H214" s="31">
        <f>SUM(A214:G214)</f>
        <v>0</v>
      </c>
      <c r="I214" s="32">
        <f>SUM(H198,H202,H206,H210,H214)</f>
        <v>0</v>
      </c>
    </row>
    <row r="215" spans="1:9" ht="16.2" thickBot="1" x14ac:dyDescent="0.35"/>
    <row r="216" spans="1:9" ht="21" thickBot="1" x14ac:dyDescent="0.35">
      <c r="A216" s="99" t="s">
        <v>16</v>
      </c>
      <c r="B216" s="100"/>
      <c r="C216" s="100"/>
      <c r="D216" s="100"/>
      <c r="E216" s="100"/>
      <c r="F216" s="100"/>
      <c r="G216" s="101"/>
    </row>
    <row r="217" spans="1:9" ht="18" thickBot="1" x14ac:dyDescent="0.35">
      <c r="A217" s="13" t="s">
        <v>13</v>
      </c>
      <c r="B217" s="12" t="s">
        <v>12</v>
      </c>
      <c r="C217" s="12" t="s">
        <v>11</v>
      </c>
      <c r="D217" s="12" t="s">
        <v>10</v>
      </c>
      <c r="E217" s="12" t="s">
        <v>9</v>
      </c>
      <c r="F217" s="12" t="s">
        <v>8</v>
      </c>
      <c r="G217" s="11" t="s">
        <v>7</v>
      </c>
    </row>
    <row r="218" spans="1:9" x14ac:dyDescent="0.3">
      <c r="A218" s="7">
        <v>45200</v>
      </c>
      <c r="B218" s="8">
        <v>45201</v>
      </c>
      <c r="C218" s="8">
        <v>45202</v>
      </c>
      <c r="D218" s="8">
        <v>45203</v>
      </c>
      <c r="E218" s="8">
        <v>45204</v>
      </c>
      <c r="F218" s="8">
        <v>45205</v>
      </c>
      <c r="G218" s="7">
        <v>45206</v>
      </c>
    </row>
    <row r="219" spans="1:9" x14ac:dyDescent="0.3">
      <c r="A219" s="5"/>
      <c r="B219" s="5"/>
      <c r="C219" s="5"/>
      <c r="D219" s="5"/>
      <c r="E219" s="5"/>
      <c r="F219" s="5"/>
      <c r="G219" s="5"/>
    </row>
    <row r="220" spans="1:9" ht="16.2" thickBot="1" x14ac:dyDescent="0.35">
      <c r="A220" s="5"/>
      <c r="B220" s="5"/>
      <c r="C220" s="5"/>
      <c r="D220" s="5"/>
      <c r="E220" s="5"/>
      <c r="F220" s="5"/>
      <c r="G220" s="5"/>
    </row>
    <row r="221" spans="1:9" ht="16.2" thickBot="1" x14ac:dyDescent="0.35">
      <c r="A221" s="4"/>
      <c r="B221" s="4"/>
      <c r="C221" s="4"/>
      <c r="D221" s="4"/>
      <c r="E221" s="4"/>
      <c r="F221" s="4"/>
      <c r="G221" s="4"/>
      <c r="H221" s="32">
        <f>SUM(A221:G221)</f>
        <v>0</v>
      </c>
    </row>
    <row r="222" spans="1:9" x14ac:dyDescent="0.3">
      <c r="A222" s="7">
        <v>45207</v>
      </c>
      <c r="B222" s="8">
        <v>45208</v>
      </c>
      <c r="C222" s="8">
        <v>45209</v>
      </c>
      <c r="D222" s="8">
        <v>45210</v>
      </c>
      <c r="E222" s="8">
        <v>45211</v>
      </c>
      <c r="F222" s="8">
        <v>45212</v>
      </c>
      <c r="G222" s="7">
        <v>45213</v>
      </c>
    </row>
    <row r="223" spans="1:9" x14ac:dyDescent="0.3">
      <c r="A223" s="5"/>
      <c r="B223" s="5"/>
      <c r="C223" s="5"/>
      <c r="D223" s="5"/>
      <c r="E223" s="5"/>
      <c r="F223" s="5"/>
      <c r="G223" s="5"/>
    </row>
    <row r="224" spans="1:9" ht="16.2" thickBot="1" x14ac:dyDescent="0.35">
      <c r="A224" s="5"/>
      <c r="B224" s="5"/>
      <c r="C224" s="5"/>
      <c r="D224" s="5"/>
      <c r="E224" s="5"/>
      <c r="F224" s="5"/>
      <c r="G224" s="5"/>
    </row>
    <row r="225" spans="1:9" ht="16.2" thickBot="1" x14ac:dyDescent="0.35">
      <c r="A225" s="4"/>
      <c r="B225" s="4"/>
      <c r="C225" s="4"/>
      <c r="D225" s="4"/>
      <c r="E225" s="4"/>
      <c r="F225" s="4"/>
      <c r="G225" s="4"/>
      <c r="H225" s="32">
        <f>SUM(A225:G225)</f>
        <v>0</v>
      </c>
    </row>
    <row r="226" spans="1:9" x14ac:dyDescent="0.3">
      <c r="A226" s="7">
        <v>45214</v>
      </c>
      <c r="B226" s="8">
        <v>45215</v>
      </c>
      <c r="C226" s="8">
        <v>45216</v>
      </c>
      <c r="D226" s="8">
        <v>45217</v>
      </c>
      <c r="E226" s="8">
        <v>45218</v>
      </c>
      <c r="F226" s="8">
        <v>45219</v>
      </c>
      <c r="G226" s="7">
        <v>45220</v>
      </c>
    </row>
    <row r="227" spans="1:9" x14ac:dyDescent="0.3">
      <c r="A227" s="5"/>
      <c r="B227" s="5"/>
      <c r="C227" s="5"/>
      <c r="D227" s="5"/>
      <c r="E227" s="5"/>
      <c r="F227" s="5"/>
      <c r="G227" s="5"/>
    </row>
    <row r="228" spans="1:9" ht="16.2" thickBot="1" x14ac:dyDescent="0.35">
      <c r="A228" s="5"/>
      <c r="B228" s="5"/>
      <c r="C228" s="5"/>
      <c r="D228" s="5"/>
      <c r="E228" s="5"/>
      <c r="F228" s="5"/>
      <c r="G228" s="5"/>
    </row>
    <row r="229" spans="1:9" ht="16.2" thickBot="1" x14ac:dyDescent="0.35">
      <c r="A229" s="4"/>
      <c r="B229" s="4"/>
      <c r="C229" s="4"/>
      <c r="D229" s="4"/>
      <c r="E229" s="4"/>
      <c r="F229" s="4"/>
      <c r="G229" s="4"/>
      <c r="H229" s="32">
        <f>SUM(A229:G229)</f>
        <v>0</v>
      </c>
    </row>
    <row r="230" spans="1:9" x14ac:dyDescent="0.3">
      <c r="A230" s="7">
        <v>45221</v>
      </c>
      <c r="B230" s="8">
        <v>45222</v>
      </c>
      <c r="C230" s="8">
        <v>45223</v>
      </c>
      <c r="D230" s="8">
        <v>45224</v>
      </c>
      <c r="E230" s="8">
        <v>45225</v>
      </c>
      <c r="F230" s="8">
        <v>45226</v>
      </c>
      <c r="G230" s="7">
        <v>45227</v>
      </c>
    </row>
    <row r="231" spans="1:9" x14ac:dyDescent="0.3">
      <c r="A231" s="5"/>
      <c r="B231" s="5"/>
      <c r="C231" s="5"/>
      <c r="D231" s="5"/>
      <c r="E231" s="5"/>
      <c r="F231" s="5"/>
      <c r="G231" s="5"/>
    </row>
    <row r="232" spans="1:9" ht="16.2" thickBot="1" x14ac:dyDescent="0.35">
      <c r="A232" s="5"/>
      <c r="B232" s="5"/>
      <c r="C232" s="5"/>
      <c r="D232" s="5"/>
      <c r="E232" s="5"/>
      <c r="F232" s="5"/>
      <c r="G232" s="5"/>
    </row>
    <row r="233" spans="1:9" ht="16.2" thickBot="1" x14ac:dyDescent="0.35">
      <c r="A233" s="4"/>
      <c r="B233" s="4"/>
      <c r="C233" s="4"/>
      <c r="D233" s="4"/>
      <c r="E233" s="4"/>
      <c r="F233" s="4"/>
      <c r="G233" s="4"/>
      <c r="H233" s="32">
        <f>SUM(A233:G233)</f>
        <v>0</v>
      </c>
    </row>
    <row r="234" spans="1:9" x14ac:dyDescent="0.3">
      <c r="A234" s="7">
        <v>45228</v>
      </c>
      <c r="B234" s="8">
        <v>45229</v>
      </c>
      <c r="C234" s="8">
        <v>45230</v>
      </c>
      <c r="D234" s="9">
        <v>45231</v>
      </c>
      <c r="E234" s="9">
        <v>45232</v>
      </c>
      <c r="F234" s="9">
        <v>45233</v>
      </c>
      <c r="G234" s="10">
        <v>45234</v>
      </c>
    </row>
    <row r="235" spans="1:9" x14ac:dyDescent="0.3">
      <c r="A235" s="5"/>
      <c r="B235" s="5"/>
      <c r="C235" s="5"/>
      <c r="D235" s="5"/>
      <c r="E235" s="5"/>
      <c r="F235" s="5"/>
      <c r="G235" s="5"/>
    </row>
    <row r="236" spans="1:9" ht="16.2" thickBot="1" x14ac:dyDescent="0.35">
      <c r="A236" s="5"/>
      <c r="B236" s="5"/>
      <c r="C236" s="5"/>
      <c r="D236" s="5"/>
      <c r="E236" s="5"/>
      <c r="F236" s="5"/>
      <c r="G236" s="5"/>
    </row>
    <row r="237" spans="1:9" ht="15.6" customHeight="1" thickBot="1" x14ac:dyDescent="0.35">
      <c r="A237" s="4"/>
      <c r="B237" s="4"/>
      <c r="C237" s="4"/>
      <c r="D237" s="4"/>
      <c r="E237" s="4"/>
      <c r="F237" s="4"/>
      <c r="G237" s="4"/>
      <c r="H237" s="31">
        <f>SUM(A237:G237)</f>
        <v>0</v>
      </c>
      <c r="I237" s="32">
        <f>SUM(H221,H225,H229,H233,H237)</f>
        <v>0</v>
      </c>
    </row>
    <row r="238" spans="1:9" ht="16.2" thickBot="1" x14ac:dyDescent="0.35"/>
    <row r="239" spans="1:9" ht="21" thickBot="1" x14ac:dyDescent="0.35">
      <c r="A239" s="99" t="s">
        <v>15</v>
      </c>
      <c r="B239" s="100"/>
      <c r="C239" s="100"/>
      <c r="D239" s="100"/>
      <c r="E239" s="100"/>
      <c r="F239" s="100"/>
      <c r="G239" s="101"/>
    </row>
    <row r="240" spans="1:9" ht="18" thickBot="1" x14ac:dyDescent="0.35">
      <c r="A240" s="13" t="s">
        <v>13</v>
      </c>
      <c r="B240" s="12" t="s">
        <v>12</v>
      </c>
      <c r="C240" s="12" t="s">
        <v>11</v>
      </c>
      <c r="D240" s="12" t="s">
        <v>10</v>
      </c>
      <c r="E240" s="12" t="s">
        <v>9</v>
      </c>
      <c r="F240" s="12" t="s">
        <v>8</v>
      </c>
      <c r="G240" s="11" t="s">
        <v>7</v>
      </c>
    </row>
    <row r="241" spans="1:8" x14ac:dyDescent="0.3">
      <c r="A241" s="10">
        <v>45228</v>
      </c>
      <c r="B241" s="9">
        <v>45229</v>
      </c>
      <c r="C241" s="9">
        <v>45230</v>
      </c>
      <c r="D241" s="8">
        <v>45231</v>
      </c>
      <c r="E241" s="8">
        <v>45232</v>
      </c>
      <c r="F241" s="8">
        <v>45233</v>
      </c>
      <c r="G241" s="7">
        <v>45234</v>
      </c>
    </row>
    <row r="242" spans="1:8" x14ac:dyDescent="0.3">
      <c r="A242" s="5"/>
      <c r="B242" s="5"/>
      <c r="C242" s="5"/>
      <c r="D242" s="5"/>
      <c r="E242" s="5"/>
      <c r="F242" s="5"/>
      <c r="G242" s="5"/>
    </row>
    <row r="243" spans="1:8" ht="16.2" thickBot="1" x14ac:dyDescent="0.35">
      <c r="A243" s="5"/>
      <c r="B243" s="5"/>
      <c r="C243" s="5"/>
      <c r="D243" s="5"/>
      <c r="E243" s="5"/>
      <c r="F243" s="5"/>
      <c r="G243" s="5"/>
    </row>
    <row r="244" spans="1:8" ht="16.2" thickBot="1" x14ac:dyDescent="0.35">
      <c r="A244" s="4"/>
      <c r="B244" s="4"/>
      <c r="C244" s="4"/>
      <c r="D244" s="4"/>
      <c r="E244" s="4"/>
      <c r="F244" s="4"/>
      <c r="G244" s="4"/>
      <c r="H244" s="32">
        <f>SUM(A244:G244)</f>
        <v>0</v>
      </c>
    </row>
    <row r="245" spans="1:8" x14ac:dyDescent="0.3">
      <c r="A245" s="7">
        <v>45235</v>
      </c>
      <c r="B245" s="8">
        <v>45236</v>
      </c>
      <c r="C245" s="8">
        <v>45237</v>
      </c>
      <c r="D245" s="8">
        <v>45238</v>
      </c>
      <c r="E245" s="8">
        <v>45239</v>
      </c>
      <c r="F245" s="8">
        <v>45240</v>
      </c>
      <c r="G245" s="7">
        <v>45241</v>
      </c>
    </row>
    <row r="246" spans="1:8" x14ac:dyDescent="0.3">
      <c r="A246" s="5"/>
      <c r="B246" s="5"/>
      <c r="C246" s="5"/>
      <c r="D246" s="5"/>
      <c r="E246" s="5"/>
      <c r="F246" s="5"/>
      <c r="G246" s="5"/>
    </row>
    <row r="247" spans="1:8" ht="16.2" thickBot="1" x14ac:dyDescent="0.35">
      <c r="A247" s="5"/>
      <c r="B247" s="5"/>
      <c r="C247" s="5"/>
      <c r="D247" s="5"/>
      <c r="E247" s="5"/>
      <c r="F247" s="5"/>
      <c r="G247" s="5"/>
    </row>
    <row r="248" spans="1:8" ht="16.2" thickBot="1" x14ac:dyDescent="0.35">
      <c r="A248" s="4"/>
      <c r="B248" s="4"/>
      <c r="C248" s="4"/>
      <c r="D248" s="4"/>
      <c r="E248" s="4"/>
      <c r="F248" s="4"/>
      <c r="G248" s="4"/>
      <c r="H248" s="32">
        <f>SUM(A248:G248)</f>
        <v>0</v>
      </c>
    </row>
    <row r="249" spans="1:8" x14ac:dyDescent="0.3">
      <c r="A249" s="7">
        <v>45242</v>
      </c>
      <c r="B249" s="8">
        <v>45243</v>
      </c>
      <c r="C249" s="8">
        <v>45244</v>
      </c>
      <c r="D249" s="8">
        <v>45245</v>
      </c>
      <c r="E249" s="8">
        <v>45246</v>
      </c>
      <c r="F249" s="8">
        <v>45247</v>
      </c>
      <c r="G249" s="7">
        <v>45248</v>
      </c>
    </row>
    <row r="250" spans="1:8" x14ac:dyDescent="0.3">
      <c r="A250" s="5"/>
      <c r="B250" s="5"/>
      <c r="C250" s="5"/>
      <c r="D250" s="5"/>
      <c r="E250" s="5"/>
      <c r="F250" s="5"/>
      <c r="G250" s="5"/>
    </row>
    <row r="251" spans="1:8" ht="16.2" thickBot="1" x14ac:dyDescent="0.35">
      <c r="A251" s="5"/>
      <c r="B251" s="5"/>
      <c r="C251" s="5"/>
      <c r="D251" s="5"/>
      <c r="E251" s="5"/>
      <c r="F251" s="5"/>
      <c r="G251" s="5"/>
    </row>
    <row r="252" spans="1:8" ht="16.2" thickBot="1" x14ac:dyDescent="0.35">
      <c r="A252" s="4"/>
      <c r="B252" s="4"/>
      <c r="C252" s="4"/>
      <c r="D252" s="4"/>
      <c r="E252" s="4"/>
      <c r="F252" s="4"/>
      <c r="G252" s="4"/>
      <c r="H252" s="32">
        <f>SUM(A252:G252)</f>
        <v>0</v>
      </c>
    </row>
    <row r="253" spans="1:8" x14ac:dyDescent="0.3">
      <c r="A253" s="7">
        <v>45249</v>
      </c>
      <c r="B253" s="8">
        <v>45250</v>
      </c>
      <c r="C253" s="8">
        <v>45251</v>
      </c>
      <c r="D253" s="8">
        <v>45252</v>
      </c>
      <c r="E253" s="8">
        <v>45253</v>
      </c>
      <c r="F253" s="8">
        <v>45254</v>
      </c>
      <c r="G253" s="7">
        <v>45255</v>
      </c>
    </row>
    <row r="254" spans="1:8" x14ac:dyDescent="0.3">
      <c r="A254" s="5"/>
      <c r="B254" s="5"/>
      <c r="C254" s="5"/>
      <c r="D254" s="5"/>
      <c r="E254" s="5"/>
      <c r="F254" s="5"/>
      <c r="G254" s="5"/>
    </row>
    <row r="255" spans="1:8" ht="16.2" thickBot="1" x14ac:dyDescent="0.35">
      <c r="A255" s="5"/>
      <c r="B255" s="5"/>
      <c r="C255" s="5"/>
      <c r="D255" s="5"/>
      <c r="E255" s="5"/>
      <c r="F255" s="5"/>
      <c r="G255" s="5"/>
    </row>
    <row r="256" spans="1:8" ht="16.2" thickBot="1" x14ac:dyDescent="0.35">
      <c r="A256" s="4"/>
      <c r="B256" s="4"/>
      <c r="C256" s="4"/>
      <c r="D256" s="4"/>
      <c r="E256" s="4"/>
      <c r="F256" s="4"/>
      <c r="G256" s="4"/>
      <c r="H256" s="32">
        <f>SUM(A256:G256)</f>
        <v>0</v>
      </c>
    </row>
    <row r="257" spans="1:9" x14ac:dyDescent="0.3">
      <c r="A257" s="7">
        <v>45256</v>
      </c>
      <c r="B257" s="8">
        <v>45257</v>
      </c>
      <c r="C257" s="8">
        <v>45258</v>
      </c>
      <c r="D257" s="8">
        <v>45259</v>
      </c>
      <c r="E257" s="8">
        <v>45260</v>
      </c>
      <c r="F257" s="9">
        <v>45261</v>
      </c>
      <c r="G257" s="10">
        <v>45262</v>
      </c>
    </row>
    <row r="258" spans="1:9" x14ac:dyDescent="0.3">
      <c r="A258" s="5"/>
      <c r="B258" s="5"/>
      <c r="C258" s="5"/>
      <c r="D258" s="5"/>
      <c r="E258" s="5"/>
      <c r="F258" s="5"/>
      <c r="G258" s="5"/>
    </row>
    <row r="259" spans="1:9" ht="16.2" thickBot="1" x14ac:dyDescent="0.35">
      <c r="A259" s="5"/>
      <c r="B259" s="5"/>
      <c r="C259" s="5"/>
      <c r="D259" s="5"/>
      <c r="E259" s="5"/>
      <c r="F259" s="5"/>
      <c r="G259" s="5"/>
      <c r="I259" s="33"/>
    </row>
    <row r="260" spans="1:9" ht="16.2" thickBot="1" x14ac:dyDescent="0.35">
      <c r="A260" s="4"/>
      <c r="B260" s="4"/>
      <c r="C260" s="4"/>
      <c r="D260" s="4"/>
      <c r="E260" s="4"/>
      <c r="F260" s="4"/>
      <c r="G260" s="4"/>
      <c r="H260" s="31">
        <f>SUM(A260:G260)</f>
        <v>0</v>
      </c>
      <c r="I260" s="32">
        <f>SUM(H244,H248,H252,H256,H260)</f>
        <v>0</v>
      </c>
    </row>
    <row r="261" spans="1:9" ht="16.2" thickBot="1" x14ac:dyDescent="0.35">
      <c r="A261" s="14"/>
      <c r="B261" s="15"/>
      <c r="C261" s="15"/>
      <c r="D261" s="15"/>
      <c r="E261" s="15"/>
      <c r="F261" s="15"/>
      <c r="G261" s="14"/>
    </row>
    <row r="262" spans="1:9" ht="21" thickBot="1" x14ac:dyDescent="0.35">
      <c r="A262" s="99" t="s">
        <v>14</v>
      </c>
      <c r="B262" s="100"/>
      <c r="C262" s="100"/>
      <c r="D262" s="100"/>
      <c r="E262" s="100"/>
      <c r="F262" s="100"/>
      <c r="G262" s="101"/>
    </row>
    <row r="263" spans="1:9" ht="18" thickBot="1" x14ac:dyDescent="0.35">
      <c r="A263" s="13" t="s">
        <v>13</v>
      </c>
      <c r="B263" s="12" t="s">
        <v>12</v>
      </c>
      <c r="C263" s="12" t="s">
        <v>11</v>
      </c>
      <c r="D263" s="12" t="s">
        <v>10</v>
      </c>
      <c r="E263" s="12" t="s">
        <v>9</v>
      </c>
      <c r="F263" s="12" t="s">
        <v>8</v>
      </c>
      <c r="G263" s="11" t="s">
        <v>7</v>
      </c>
    </row>
    <row r="264" spans="1:9" x14ac:dyDescent="0.3">
      <c r="A264" s="10">
        <v>45256</v>
      </c>
      <c r="B264" s="9">
        <v>45257</v>
      </c>
      <c r="C264" s="9">
        <v>45258</v>
      </c>
      <c r="D264" s="9">
        <v>45259</v>
      </c>
      <c r="E264" s="9">
        <v>45260</v>
      </c>
      <c r="F264" s="8">
        <v>45261</v>
      </c>
      <c r="G264" s="7">
        <v>45262</v>
      </c>
    </row>
    <row r="265" spans="1:9" x14ac:dyDescent="0.3">
      <c r="A265" s="5"/>
      <c r="B265" s="5"/>
      <c r="C265" s="5"/>
      <c r="D265" s="5"/>
      <c r="E265" s="5"/>
      <c r="F265" s="5"/>
      <c r="G265" s="5"/>
    </row>
    <row r="266" spans="1:9" ht="16.2" thickBot="1" x14ac:dyDescent="0.35">
      <c r="A266" s="5"/>
      <c r="B266" s="5"/>
      <c r="C266" s="5"/>
      <c r="D266" s="5"/>
      <c r="E266" s="5"/>
      <c r="F266" s="5"/>
      <c r="G266" s="5"/>
    </row>
    <row r="267" spans="1:9" ht="16.2" thickBot="1" x14ac:dyDescent="0.35">
      <c r="A267" s="4"/>
      <c r="B267" s="4"/>
      <c r="C267" s="4"/>
      <c r="D267" s="4"/>
      <c r="E267" s="4"/>
      <c r="F267" s="4"/>
      <c r="G267" s="4"/>
      <c r="H267" s="32">
        <f>SUM(A267:G267)</f>
        <v>0</v>
      </c>
    </row>
    <row r="268" spans="1:9" x14ac:dyDescent="0.3">
      <c r="A268" s="7">
        <v>45263</v>
      </c>
      <c r="B268" s="7">
        <v>45264</v>
      </c>
      <c r="C268" s="7">
        <v>45265</v>
      </c>
      <c r="D268" s="7">
        <v>45266</v>
      </c>
      <c r="E268" s="7">
        <v>45267</v>
      </c>
      <c r="F268" s="7">
        <v>45268</v>
      </c>
      <c r="G268" s="7">
        <v>45269</v>
      </c>
    </row>
    <row r="269" spans="1:9" x14ac:dyDescent="0.3">
      <c r="A269" s="5"/>
      <c r="B269" s="5"/>
      <c r="C269" s="5"/>
      <c r="D269" s="5"/>
      <c r="E269" s="5"/>
      <c r="F269" s="5"/>
      <c r="G269" s="5"/>
    </row>
    <row r="270" spans="1:9" ht="16.2" thickBot="1" x14ac:dyDescent="0.35">
      <c r="A270" s="5"/>
      <c r="B270" s="5"/>
      <c r="C270" s="5"/>
      <c r="D270" s="5"/>
      <c r="E270" s="5"/>
      <c r="F270" s="5"/>
      <c r="G270" s="5"/>
    </row>
    <row r="271" spans="1:9" ht="16.2" thickBot="1" x14ac:dyDescent="0.35">
      <c r="A271" s="4"/>
      <c r="B271" s="4"/>
      <c r="C271" s="4"/>
      <c r="D271" s="4"/>
      <c r="E271" s="4"/>
      <c r="F271" s="4"/>
      <c r="G271" s="4"/>
      <c r="H271" s="32">
        <f>SUM(A271:G271)</f>
        <v>0</v>
      </c>
    </row>
    <row r="272" spans="1:9" x14ac:dyDescent="0.3">
      <c r="A272" s="7">
        <v>45270</v>
      </c>
      <c r="B272" s="7">
        <v>45271</v>
      </c>
      <c r="C272" s="7">
        <v>45272</v>
      </c>
      <c r="D272" s="7">
        <v>45273</v>
      </c>
      <c r="E272" s="7">
        <v>45274</v>
      </c>
      <c r="F272" s="7">
        <v>45275</v>
      </c>
      <c r="G272" s="7">
        <v>45276</v>
      </c>
    </row>
    <row r="273" spans="1:9" x14ac:dyDescent="0.3">
      <c r="A273" s="5"/>
      <c r="B273" s="5"/>
      <c r="C273" s="5"/>
      <c r="D273" s="5"/>
      <c r="E273" s="5"/>
      <c r="F273" s="5"/>
      <c r="G273" s="5"/>
    </row>
    <row r="274" spans="1:9" ht="16.2" thickBot="1" x14ac:dyDescent="0.35">
      <c r="A274" s="5"/>
      <c r="B274" s="5"/>
      <c r="C274" s="5"/>
      <c r="D274" s="5"/>
      <c r="E274" s="5"/>
      <c r="F274" s="5"/>
      <c r="G274" s="5"/>
    </row>
    <row r="275" spans="1:9" ht="16.2" thickBot="1" x14ac:dyDescent="0.35">
      <c r="A275" s="4"/>
      <c r="B275" s="4"/>
      <c r="C275" s="4"/>
      <c r="D275" s="4"/>
      <c r="E275" s="4"/>
      <c r="F275" s="4"/>
      <c r="G275" s="4"/>
      <c r="H275" s="32">
        <f>SUM(A275:G275)</f>
        <v>0</v>
      </c>
    </row>
    <row r="276" spans="1:9" x14ac:dyDescent="0.3">
      <c r="A276" s="7">
        <v>45277</v>
      </c>
      <c r="B276" s="7">
        <v>45278</v>
      </c>
      <c r="C276" s="7">
        <v>45279</v>
      </c>
      <c r="D276" s="7">
        <v>45280</v>
      </c>
      <c r="E276" s="7">
        <v>45281</v>
      </c>
      <c r="F276" s="7">
        <v>45282</v>
      </c>
      <c r="G276" s="7">
        <v>45283</v>
      </c>
    </row>
    <row r="277" spans="1:9" x14ac:dyDescent="0.3">
      <c r="A277" s="5"/>
      <c r="B277" s="5"/>
      <c r="C277" s="5"/>
      <c r="D277" s="5"/>
      <c r="E277" s="5"/>
      <c r="F277" s="5"/>
      <c r="G277" s="5"/>
    </row>
    <row r="278" spans="1:9" ht="16.2" thickBot="1" x14ac:dyDescent="0.35">
      <c r="A278" s="5"/>
      <c r="B278" s="5"/>
      <c r="C278" s="5"/>
      <c r="D278" s="5"/>
      <c r="E278" s="5"/>
      <c r="F278" s="5"/>
      <c r="G278" s="5"/>
    </row>
    <row r="279" spans="1:9" ht="16.2" thickBot="1" x14ac:dyDescent="0.35">
      <c r="A279" s="4"/>
      <c r="B279" s="4"/>
      <c r="C279" s="4"/>
      <c r="D279" s="4"/>
      <c r="E279" s="4"/>
      <c r="F279" s="4"/>
      <c r="G279" s="4"/>
      <c r="H279" s="32">
        <f>SUM(A279:G279)</f>
        <v>0</v>
      </c>
    </row>
    <row r="280" spans="1:9" x14ac:dyDescent="0.3">
      <c r="A280" s="7">
        <v>45284</v>
      </c>
      <c r="B280" s="7">
        <v>45285</v>
      </c>
      <c r="C280" s="7">
        <v>45286</v>
      </c>
      <c r="D280" s="7">
        <v>45287</v>
      </c>
      <c r="E280" s="7">
        <v>45288</v>
      </c>
      <c r="F280" s="7">
        <v>45289</v>
      </c>
      <c r="G280" s="7">
        <v>45290</v>
      </c>
    </row>
    <row r="281" spans="1:9" x14ac:dyDescent="0.3">
      <c r="A281" s="5"/>
      <c r="B281" s="5"/>
      <c r="C281" s="5"/>
      <c r="D281" s="5"/>
      <c r="E281" s="5"/>
      <c r="F281" s="5"/>
      <c r="G281" s="5"/>
    </row>
    <row r="282" spans="1:9" ht="16.2" thickBot="1" x14ac:dyDescent="0.35">
      <c r="A282" s="5"/>
      <c r="B282" s="5"/>
      <c r="C282" s="5"/>
      <c r="D282" s="5"/>
      <c r="E282" s="5"/>
      <c r="F282" s="5"/>
      <c r="G282" s="5"/>
    </row>
    <row r="283" spans="1:9" ht="16.2" thickBot="1" x14ac:dyDescent="0.35">
      <c r="A283" s="4"/>
      <c r="B283" s="4"/>
      <c r="C283" s="4"/>
      <c r="D283" s="4"/>
      <c r="E283" s="4"/>
      <c r="F283" s="4"/>
      <c r="G283" s="4"/>
      <c r="H283" s="32">
        <f>SUM(A283:G283)</f>
        <v>0</v>
      </c>
    </row>
    <row r="284" spans="1:9" x14ac:dyDescent="0.3">
      <c r="A284" s="7">
        <v>45291</v>
      </c>
      <c r="B284" s="10">
        <v>45292</v>
      </c>
      <c r="C284" s="10">
        <v>45293</v>
      </c>
      <c r="D284" s="10">
        <v>45294</v>
      </c>
      <c r="E284" s="10">
        <v>45295</v>
      </c>
      <c r="F284" s="10">
        <v>45296</v>
      </c>
      <c r="G284" s="10">
        <v>45297</v>
      </c>
    </row>
    <row r="285" spans="1:9" x14ac:dyDescent="0.3">
      <c r="A285" s="5"/>
      <c r="B285" s="5"/>
      <c r="C285" s="5"/>
      <c r="D285" s="5"/>
      <c r="E285" s="5"/>
      <c r="F285" s="5"/>
      <c r="G285" s="5"/>
    </row>
    <row r="286" spans="1:9" ht="16.2" thickBot="1" x14ac:dyDescent="0.35">
      <c r="A286" s="5"/>
      <c r="B286" s="5"/>
      <c r="C286" s="5"/>
      <c r="D286" s="5"/>
      <c r="E286" s="5"/>
      <c r="F286" s="5"/>
      <c r="G286" s="5"/>
    </row>
    <row r="287" spans="1:9" ht="16.2" thickBot="1" x14ac:dyDescent="0.35">
      <c r="A287" s="4"/>
      <c r="B287" s="4"/>
      <c r="C287" s="4"/>
      <c r="D287" s="4"/>
      <c r="E287" s="4"/>
      <c r="F287" s="4"/>
      <c r="G287" s="4"/>
      <c r="H287" s="31">
        <f>SUM(A287:G287)</f>
        <v>0</v>
      </c>
      <c r="I287" s="30">
        <f>SUM(H267,H271,H275,H279,H283,H287)</f>
        <v>0</v>
      </c>
    </row>
    <row r="289" spans="8:9" ht="16.2" thickBot="1" x14ac:dyDescent="0.35"/>
    <row r="290" spans="8:9" ht="16.2" thickBot="1" x14ac:dyDescent="0.35">
      <c r="H290" s="29" t="s">
        <v>26</v>
      </c>
      <c r="I290" s="28">
        <f>SUM(I22,I45,I68,I95,I118,I141,I168,I191,I214,I237,I260,I287)</f>
        <v>649500</v>
      </c>
    </row>
  </sheetData>
  <mergeCells count="12">
    <mergeCell ref="A216:G216"/>
    <mergeCell ref="A239:G239"/>
    <mergeCell ref="A262:G262"/>
    <mergeCell ref="A1:G1"/>
    <mergeCell ref="A24:G24"/>
    <mergeCell ref="A47:G47"/>
    <mergeCell ref="A70:G70"/>
    <mergeCell ref="A97:G97"/>
    <mergeCell ref="A120:G120"/>
    <mergeCell ref="A143:G143"/>
    <mergeCell ref="A170:G170"/>
    <mergeCell ref="A193:G193"/>
  </mergeCells>
  <conditionalFormatting sqref="A144:G169 A171:G192 A194:G215 A217:G238 A240:G261 A263:G287 A3:G23 A25:G42 A46:G46 A43:C45 F43:G45 A48:G69 A71:G96 A121:G142 A98:G119">
    <cfRule type="expression" dxfId="3" priority="1">
      <formula>$A$3=TODAY()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1DA64-DC14-404B-99DB-E41C4D5E82E2}">
  <sheetPr codeName="Hoja3"/>
  <dimension ref="A1:I121"/>
  <sheetViews>
    <sheetView showGridLines="0" workbookViewId="0">
      <selection activeCell="G12" sqref="G12"/>
    </sheetView>
  </sheetViews>
  <sheetFormatPr baseColWidth="10" defaultRowHeight="15.6" x14ac:dyDescent="0.3"/>
  <cols>
    <col min="1" max="7" width="20.69921875" customWidth="1"/>
    <col min="8" max="8" width="12.796875" bestFit="1" customWidth="1"/>
  </cols>
  <sheetData>
    <row r="1" spans="1:9" ht="21" thickBot="1" x14ac:dyDescent="0.35">
      <c r="A1" s="99" t="s">
        <v>25</v>
      </c>
      <c r="B1" s="100"/>
      <c r="C1" s="100"/>
      <c r="D1" s="100"/>
      <c r="E1" s="100"/>
      <c r="F1" s="100"/>
      <c r="G1" s="101"/>
      <c r="H1" s="27"/>
      <c r="I1" s="27"/>
    </row>
    <row r="2" spans="1:9" ht="35.4" thickBot="1" x14ac:dyDescent="0.35">
      <c r="A2" s="13" t="s">
        <v>13</v>
      </c>
      <c r="B2" s="12" t="s">
        <v>12</v>
      </c>
      <c r="C2" s="12" t="s">
        <v>11</v>
      </c>
      <c r="D2" s="12" t="s">
        <v>10</v>
      </c>
      <c r="E2" s="12" t="s">
        <v>9</v>
      </c>
      <c r="F2" s="12" t="s">
        <v>8</v>
      </c>
      <c r="G2" s="11" t="s">
        <v>7</v>
      </c>
      <c r="H2" s="41" t="s">
        <v>31</v>
      </c>
      <c r="I2" s="41" t="s">
        <v>30</v>
      </c>
    </row>
    <row r="3" spans="1:9" ht="18" customHeight="1" x14ac:dyDescent="0.3">
      <c r="A3" s="82">
        <v>45291</v>
      </c>
      <c r="B3" s="8">
        <v>45292</v>
      </c>
      <c r="C3" s="8">
        <v>45293</v>
      </c>
      <c r="D3" s="8">
        <v>45294</v>
      </c>
      <c r="E3" s="8">
        <v>45295</v>
      </c>
      <c r="F3" s="8">
        <v>45296</v>
      </c>
      <c r="G3" s="7">
        <v>45297</v>
      </c>
    </row>
    <row r="4" spans="1:9" ht="18" customHeight="1" x14ac:dyDescent="0.3">
      <c r="A4" s="47"/>
      <c r="B4" s="48"/>
      <c r="C4" s="48"/>
      <c r="D4" s="48"/>
      <c r="E4" s="48"/>
      <c r="F4" s="48"/>
      <c r="G4" s="47"/>
    </row>
    <row r="5" spans="1:9" ht="18" customHeight="1" x14ac:dyDescent="0.3">
      <c r="A5" s="47"/>
      <c r="B5" s="48"/>
      <c r="C5" s="48"/>
      <c r="D5" s="48"/>
      <c r="E5" s="48"/>
      <c r="F5" s="48"/>
      <c r="G5" s="47"/>
    </row>
    <row r="6" spans="1:9" ht="18" customHeight="1" thickBot="1" x14ac:dyDescent="0.35">
      <c r="A6" s="87"/>
      <c r="B6" s="88"/>
      <c r="C6" s="88"/>
      <c r="D6" s="88"/>
      <c r="E6" s="88"/>
      <c r="F6" s="88"/>
      <c r="G6" s="87"/>
      <c r="H6" s="1">
        <f>SUM(A6:G6)</f>
        <v>0</v>
      </c>
    </row>
    <row r="7" spans="1:9" ht="16.8" customHeight="1" x14ac:dyDescent="0.3">
      <c r="A7" s="7">
        <v>45298</v>
      </c>
      <c r="B7" s="8">
        <v>45299</v>
      </c>
      <c r="C7" s="8">
        <v>45300</v>
      </c>
      <c r="D7" s="8">
        <v>45301</v>
      </c>
      <c r="E7" s="8">
        <v>45302</v>
      </c>
      <c r="F7" s="8">
        <v>45303</v>
      </c>
      <c r="G7" s="7">
        <v>45304</v>
      </c>
      <c r="H7" s="2"/>
      <c r="I7" s="2"/>
    </row>
    <row r="8" spans="1:9" ht="16.8" customHeight="1" x14ac:dyDescent="0.3">
      <c r="A8" s="47"/>
      <c r="B8" s="48"/>
      <c r="C8" s="48"/>
      <c r="D8" s="48"/>
      <c r="E8" s="48"/>
      <c r="F8" s="48"/>
      <c r="G8" s="47"/>
      <c r="H8" s="2"/>
      <c r="I8" s="2"/>
    </row>
    <row r="9" spans="1:9" ht="16.8" customHeight="1" x14ac:dyDescent="0.3">
      <c r="A9" s="47"/>
      <c r="B9" s="48"/>
      <c r="C9" s="48"/>
      <c r="D9" s="48"/>
      <c r="E9" s="48"/>
      <c r="F9" s="48"/>
      <c r="G9" s="47"/>
      <c r="H9" s="2"/>
      <c r="I9" s="2"/>
    </row>
    <row r="10" spans="1:9" ht="16.8" customHeight="1" thickBot="1" x14ac:dyDescent="0.35">
      <c r="A10" s="87"/>
      <c r="B10" s="88"/>
      <c r="C10" s="88"/>
      <c r="D10" s="88"/>
      <c r="E10" s="88"/>
      <c r="F10" s="88"/>
      <c r="G10" s="87"/>
      <c r="H10" s="1">
        <f>SUM(A10:G10)</f>
        <v>0</v>
      </c>
      <c r="I10" s="2"/>
    </row>
    <row r="11" spans="1:9" ht="18" customHeight="1" x14ac:dyDescent="0.3">
      <c r="A11" s="7">
        <v>45305</v>
      </c>
      <c r="B11" s="8">
        <v>45306</v>
      </c>
      <c r="C11" s="8">
        <v>45307</v>
      </c>
      <c r="D11" s="8">
        <v>45308</v>
      </c>
      <c r="E11" s="8">
        <v>45309</v>
      </c>
      <c r="F11" s="8">
        <v>45310</v>
      </c>
      <c r="G11" s="7">
        <v>45311</v>
      </c>
      <c r="H11" s="2"/>
      <c r="I11" s="2"/>
    </row>
    <row r="12" spans="1:9" ht="18" customHeight="1" x14ac:dyDescent="0.3">
      <c r="A12" s="47"/>
      <c r="B12" s="48"/>
      <c r="C12" s="48"/>
      <c r="D12" s="48"/>
      <c r="E12" s="48"/>
      <c r="F12" s="48"/>
      <c r="G12" s="47"/>
      <c r="H12" s="2"/>
      <c r="I12" s="2"/>
    </row>
    <row r="13" spans="1:9" ht="18" customHeight="1" x14ac:dyDescent="0.3">
      <c r="A13" s="47"/>
      <c r="B13" s="48"/>
      <c r="C13" s="48"/>
      <c r="D13" s="48"/>
      <c r="E13" s="48"/>
      <c r="F13" s="48"/>
      <c r="G13" s="47"/>
      <c r="H13" s="2"/>
      <c r="I13" s="2"/>
    </row>
    <row r="14" spans="1:9" ht="18" customHeight="1" thickBot="1" x14ac:dyDescent="0.35">
      <c r="A14" s="87"/>
      <c r="B14" s="88"/>
      <c r="C14" s="88"/>
      <c r="D14" s="88"/>
      <c r="E14" s="88"/>
      <c r="F14" s="88"/>
      <c r="G14" s="87"/>
      <c r="H14" s="1">
        <f>SUM(A14:G14)</f>
        <v>0</v>
      </c>
      <c r="I14" s="2"/>
    </row>
    <row r="15" spans="1:9" ht="18" customHeight="1" x14ac:dyDescent="0.3">
      <c r="A15" s="7">
        <v>45312</v>
      </c>
      <c r="B15" s="8">
        <v>45313</v>
      </c>
      <c r="C15" s="8">
        <v>45314</v>
      </c>
      <c r="D15" s="8">
        <v>45315</v>
      </c>
      <c r="E15" s="8">
        <v>45316</v>
      </c>
      <c r="F15" s="8">
        <v>45317</v>
      </c>
      <c r="G15" s="7">
        <v>45318</v>
      </c>
      <c r="H15" s="2"/>
      <c r="I15" s="2"/>
    </row>
    <row r="16" spans="1:9" ht="18" customHeight="1" x14ac:dyDescent="0.3">
      <c r="A16" s="47"/>
      <c r="B16" s="48"/>
      <c r="C16" s="48"/>
      <c r="D16" s="48"/>
      <c r="E16" s="48"/>
      <c r="F16" s="48"/>
      <c r="G16" s="47"/>
      <c r="H16" s="2"/>
      <c r="I16" s="2"/>
    </row>
    <row r="17" spans="1:9" ht="18" customHeight="1" x14ac:dyDescent="0.3">
      <c r="A17" s="47"/>
      <c r="B17" s="48"/>
      <c r="C17" s="48"/>
      <c r="D17" s="48"/>
      <c r="E17" s="48"/>
      <c r="F17" s="48"/>
      <c r="G17" s="47"/>
      <c r="H17" s="2"/>
      <c r="I17" s="2"/>
    </row>
    <row r="18" spans="1:9" ht="18" customHeight="1" thickBot="1" x14ac:dyDescent="0.35">
      <c r="A18" s="87"/>
      <c r="B18" s="88"/>
      <c r="C18" s="88"/>
      <c r="D18" s="88"/>
      <c r="E18" s="88"/>
      <c r="F18" s="88"/>
      <c r="G18" s="87"/>
      <c r="H18" s="1">
        <f>SUM(A18:G18)</f>
        <v>0</v>
      </c>
      <c r="I18" s="2"/>
    </row>
    <row r="19" spans="1:9" ht="18" customHeight="1" x14ac:dyDescent="0.3">
      <c r="A19" s="7">
        <v>45319</v>
      </c>
      <c r="B19" s="8">
        <v>45320</v>
      </c>
      <c r="C19" s="8">
        <v>45321</v>
      </c>
      <c r="D19" s="8">
        <v>45322</v>
      </c>
      <c r="E19" s="82">
        <v>45323</v>
      </c>
      <c r="F19" s="82">
        <v>45324</v>
      </c>
      <c r="G19" s="82">
        <v>45325</v>
      </c>
      <c r="H19" s="2"/>
      <c r="I19" s="2"/>
    </row>
    <row r="20" spans="1:9" ht="18" customHeight="1" x14ac:dyDescent="0.3">
      <c r="A20" s="47"/>
      <c r="B20" s="48"/>
      <c r="C20" s="48"/>
      <c r="D20" s="48"/>
      <c r="E20" s="48"/>
      <c r="F20" s="48"/>
      <c r="G20" s="47"/>
      <c r="H20" s="2"/>
      <c r="I20" s="2"/>
    </row>
    <row r="21" spans="1:9" ht="18" customHeight="1" x14ac:dyDescent="0.3">
      <c r="A21" s="47"/>
      <c r="B21" s="48"/>
      <c r="C21" s="48"/>
      <c r="D21" s="48"/>
      <c r="E21" s="48"/>
      <c r="F21" s="48"/>
      <c r="G21" s="47"/>
      <c r="H21" s="2"/>
      <c r="I21" s="2"/>
    </row>
    <row r="22" spans="1:9" ht="18" customHeight="1" thickBot="1" x14ac:dyDescent="0.35">
      <c r="A22" s="87"/>
      <c r="B22" s="88"/>
      <c r="C22" s="88"/>
      <c r="D22" s="88"/>
      <c r="E22" s="88"/>
      <c r="F22" s="88"/>
      <c r="G22" s="87"/>
      <c r="H22" s="1">
        <f>SUM(A22:G22)</f>
        <v>0</v>
      </c>
      <c r="I22" s="2">
        <f>SUM(H6,H10,H14,H18,H22)</f>
        <v>0</v>
      </c>
    </row>
    <row r="23" spans="1:9" ht="18" customHeight="1" thickBot="1" x14ac:dyDescent="0.35">
      <c r="A23" s="49"/>
      <c r="B23" s="50"/>
      <c r="C23" s="50"/>
      <c r="D23" s="50"/>
      <c r="E23" s="50"/>
      <c r="F23" s="50"/>
      <c r="G23" s="51"/>
      <c r="H23" s="2"/>
      <c r="I23" s="2"/>
    </row>
    <row r="24" spans="1:9" ht="18" customHeight="1" thickBot="1" x14ac:dyDescent="0.35">
      <c r="A24" s="99" t="s">
        <v>24</v>
      </c>
      <c r="B24" s="100"/>
      <c r="C24" s="100"/>
      <c r="D24" s="100"/>
      <c r="E24" s="100"/>
      <c r="F24" s="100"/>
      <c r="G24" s="101"/>
      <c r="H24" s="2"/>
      <c r="I24" s="2"/>
    </row>
    <row r="25" spans="1:9" ht="18" customHeight="1" thickBot="1" x14ac:dyDescent="0.35">
      <c r="A25" s="13" t="s">
        <v>13</v>
      </c>
      <c r="B25" s="12" t="s">
        <v>12</v>
      </c>
      <c r="C25" s="12" t="s">
        <v>11</v>
      </c>
      <c r="D25" s="12" t="s">
        <v>10</v>
      </c>
      <c r="E25" s="12" t="s">
        <v>9</v>
      </c>
      <c r="F25" s="12" t="s">
        <v>8</v>
      </c>
      <c r="G25" s="11" t="s">
        <v>7</v>
      </c>
      <c r="H25" s="2"/>
      <c r="I25" s="2"/>
    </row>
    <row r="26" spans="1:9" x14ac:dyDescent="0.3">
      <c r="A26" s="83">
        <v>45319</v>
      </c>
      <c r="B26" s="82">
        <v>45320</v>
      </c>
      <c r="C26" s="82">
        <v>45321</v>
      </c>
      <c r="D26" s="82">
        <v>45322</v>
      </c>
      <c r="E26" s="8">
        <v>45323</v>
      </c>
      <c r="F26" s="8">
        <v>45324</v>
      </c>
      <c r="G26" s="8">
        <v>45325</v>
      </c>
      <c r="H26" s="2"/>
      <c r="I26" s="2"/>
    </row>
    <row r="27" spans="1:9" x14ac:dyDescent="0.3">
      <c r="A27" s="47"/>
      <c r="B27" s="48"/>
      <c r="C27" s="48"/>
      <c r="D27" s="48"/>
      <c r="E27" s="48"/>
      <c r="F27" s="48"/>
      <c r="G27" s="47"/>
      <c r="H27" s="2"/>
      <c r="I27" s="2"/>
    </row>
    <row r="28" spans="1:9" x14ac:dyDescent="0.3">
      <c r="A28" s="47"/>
      <c r="B28" s="48"/>
      <c r="C28" s="48"/>
      <c r="D28" s="48"/>
      <c r="E28" s="48"/>
      <c r="F28" s="48"/>
      <c r="G28" s="47"/>
      <c r="H28" s="2"/>
      <c r="I28" s="2"/>
    </row>
    <row r="29" spans="1:9" ht="16.2" thickBot="1" x14ac:dyDescent="0.35">
      <c r="A29" s="89"/>
      <c r="B29" s="90"/>
      <c r="C29" s="90"/>
      <c r="D29" s="90"/>
      <c r="E29" s="90"/>
      <c r="F29" s="90"/>
      <c r="G29" s="89"/>
      <c r="H29" s="2">
        <f>SUM(A29:G29)</f>
        <v>0</v>
      </c>
      <c r="I29" s="2"/>
    </row>
    <row r="30" spans="1:9" x14ac:dyDescent="0.3">
      <c r="A30" s="7">
        <v>45326</v>
      </c>
      <c r="B30" s="8">
        <v>45327</v>
      </c>
      <c r="C30" s="8">
        <v>45328</v>
      </c>
      <c r="D30" s="8">
        <v>45329</v>
      </c>
      <c r="E30" s="8">
        <v>45330</v>
      </c>
      <c r="F30" s="8">
        <v>45331</v>
      </c>
      <c r="G30" s="7">
        <v>45332</v>
      </c>
      <c r="H30" s="2"/>
      <c r="I30" s="2"/>
    </row>
    <row r="31" spans="1:9" x14ac:dyDescent="0.3">
      <c r="A31" s="47"/>
      <c r="B31" s="48"/>
      <c r="C31" s="48"/>
      <c r="D31" s="48"/>
      <c r="E31" s="48"/>
      <c r="F31" s="48"/>
      <c r="G31" s="47"/>
      <c r="H31" s="2"/>
      <c r="I31" s="2"/>
    </row>
    <row r="32" spans="1:9" x14ac:dyDescent="0.3">
      <c r="A32" s="47"/>
      <c r="B32" s="48"/>
      <c r="C32" s="48"/>
      <c r="D32" s="48"/>
      <c r="E32" s="48"/>
      <c r="F32" s="48"/>
      <c r="G32" s="47"/>
      <c r="H32" s="2"/>
      <c r="I32" s="2"/>
    </row>
    <row r="33" spans="1:9" ht="16.2" thickBot="1" x14ac:dyDescent="0.35">
      <c r="A33" s="89"/>
      <c r="B33" s="90"/>
      <c r="C33" s="90"/>
      <c r="D33" s="90"/>
      <c r="E33" s="90"/>
      <c r="F33" s="90"/>
      <c r="G33" s="89"/>
      <c r="H33" s="2">
        <f>SUM(A33:G33)</f>
        <v>0</v>
      </c>
      <c r="I33" s="2"/>
    </row>
    <row r="34" spans="1:9" x14ac:dyDescent="0.3">
      <c r="A34" s="7">
        <v>45333</v>
      </c>
      <c r="B34" s="8">
        <v>45334</v>
      </c>
      <c r="C34" s="8">
        <v>45335</v>
      </c>
      <c r="D34" s="8">
        <v>45336</v>
      </c>
      <c r="E34" s="8">
        <v>45337</v>
      </c>
      <c r="F34" s="8">
        <v>45338</v>
      </c>
      <c r="G34" s="7">
        <v>45339</v>
      </c>
      <c r="H34" s="2"/>
      <c r="I34" s="2"/>
    </row>
    <row r="35" spans="1:9" x14ac:dyDescent="0.3">
      <c r="A35" s="47"/>
      <c r="B35" s="48"/>
      <c r="C35" s="48"/>
      <c r="D35" s="48"/>
      <c r="E35" s="48"/>
      <c r="F35" s="48"/>
      <c r="G35" s="47"/>
      <c r="H35" s="2"/>
      <c r="I35" s="2"/>
    </row>
    <row r="36" spans="1:9" x14ac:dyDescent="0.3">
      <c r="A36" s="47"/>
      <c r="B36" s="48"/>
      <c r="C36" s="48"/>
      <c r="D36" s="48"/>
      <c r="E36" s="48"/>
      <c r="F36" s="48"/>
      <c r="G36" s="47"/>
      <c r="H36" s="2"/>
      <c r="I36" s="2"/>
    </row>
    <row r="37" spans="1:9" ht="16.2" thickBot="1" x14ac:dyDescent="0.35">
      <c r="A37" s="89"/>
      <c r="B37" s="90"/>
      <c r="C37" s="90"/>
      <c r="D37" s="90"/>
      <c r="E37" s="90"/>
      <c r="F37" s="90"/>
      <c r="G37" s="89"/>
      <c r="H37" s="2">
        <f>SUM(A37:G37)</f>
        <v>0</v>
      </c>
      <c r="I37" s="2"/>
    </row>
    <row r="38" spans="1:9" x14ac:dyDescent="0.3">
      <c r="A38" s="7">
        <v>45340</v>
      </c>
      <c r="B38" s="8">
        <v>45341</v>
      </c>
      <c r="C38" s="8">
        <v>45342</v>
      </c>
      <c r="D38" s="8">
        <v>45343</v>
      </c>
      <c r="E38" s="8">
        <v>45344</v>
      </c>
      <c r="F38" s="8">
        <v>45345</v>
      </c>
      <c r="G38" s="7">
        <v>45346</v>
      </c>
      <c r="H38" s="2"/>
      <c r="I38" s="2"/>
    </row>
    <row r="39" spans="1:9" x14ac:dyDescent="0.3">
      <c r="A39" s="47"/>
      <c r="B39" s="48"/>
      <c r="C39" s="48"/>
      <c r="D39" s="48"/>
      <c r="E39" s="48"/>
      <c r="F39" s="48"/>
      <c r="G39" s="47"/>
      <c r="H39" s="2"/>
      <c r="I39" s="2"/>
    </row>
    <row r="40" spans="1:9" x14ac:dyDescent="0.3">
      <c r="A40" s="47"/>
      <c r="B40" s="48"/>
      <c r="C40" s="48"/>
      <c r="D40" s="48"/>
      <c r="E40" s="48"/>
      <c r="F40" s="48"/>
      <c r="G40" s="47"/>
      <c r="H40" s="2"/>
      <c r="I40" s="2"/>
    </row>
    <row r="41" spans="1:9" ht="16.2" thickBot="1" x14ac:dyDescent="0.35">
      <c r="A41" s="89"/>
      <c r="B41" s="90"/>
      <c r="C41" s="90"/>
      <c r="D41" s="90"/>
      <c r="E41" s="90"/>
      <c r="F41" s="90"/>
      <c r="G41" s="89"/>
      <c r="H41" s="2">
        <f>SUM(A41:G41)</f>
        <v>0</v>
      </c>
      <c r="I41" s="2"/>
    </row>
    <row r="42" spans="1:9" x14ac:dyDescent="0.3">
      <c r="A42" s="7">
        <v>45347</v>
      </c>
      <c r="B42" s="8">
        <v>45348</v>
      </c>
      <c r="C42" s="8">
        <v>45349</v>
      </c>
      <c r="D42" s="8">
        <v>45350</v>
      </c>
      <c r="E42" s="8">
        <v>45351</v>
      </c>
      <c r="F42" s="82">
        <v>45352</v>
      </c>
      <c r="G42" s="83">
        <v>45353</v>
      </c>
      <c r="H42" s="2"/>
      <c r="I42" s="2"/>
    </row>
    <row r="43" spans="1:9" x14ac:dyDescent="0.3">
      <c r="A43" s="47"/>
      <c r="B43" s="48"/>
      <c r="C43" s="48"/>
      <c r="D43" s="48"/>
      <c r="E43" s="48"/>
      <c r="F43" s="48"/>
      <c r="G43" s="47"/>
      <c r="H43" s="2"/>
      <c r="I43" s="2"/>
    </row>
    <row r="44" spans="1:9" x14ac:dyDescent="0.3">
      <c r="A44" s="47"/>
      <c r="B44" s="48"/>
      <c r="C44" s="48"/>
      <c r="D44" s="48"/>
      <c r="E44" s="48"/>
      <c r="F44" s="48"/>
      <c r="G44" s="47"/>
      <c r="H44" s="2"/>
      <c r="I44" s="2"/>
    </row>
    <row r="45" spans="1:9" ht="16.2" thickBot="1" x14ac:dyDescent="0.35">
      <c r="A45" s="89"/>
      <c r="B45" s="90"/>
      <c r="C45" s="90"/>
      <c r="D45" s="90"/>
      <c r="E45" s="90"/>
      <c r="F45" s="90"/>
      <c r="G45" s="89"/>
      <c r="H45" s="2">
        <f>SUM(A45:G45)</f>
        <v>0</v>
      </c>
      <c r="I45" s="2">
        <f>SUM(H29,H33,H37,H41,H45)</f>
        <v>0</v>
      </c>
    </row>
    <row r="46" spans="1:9" ht="16.2" thickBot="1" x14ac:dyDescent="0.35">
      <c r="A46" s="85"/>
      <c r="B46" s="84"/>
      <c r="C46" s="84"/>
      <c r="D46" s="84"/>
      <c r="E46" s="84"/>
      <c r="F46" s="84"/>
      <c r="G46" s="85"/>
      <c r="H46" s="2"/>
      <c r="I46" s="2"/>
    </row>
    <row r="47" spans="1:9" ht="21" thickBot="1" x14ac:dyDescent="0.35">
      <c r="A47" s="99" t="s">
        <v>23</v>
      </c>
      <c r="B47" s="100"/>
      <c r="C47" s="100"/>
      <c r="D47" s="100"/>
      <c r="E47" s="100"/>
      <c r="F47" s="100"/>
      <c r="G47" s="101"/>
      <c r="H47" s="2"/>
      <c r="I47" s="2"/>
    </row>
    <row r="48" spans="1:9" ht="18" thickBot="1" x14ac:dyDescent="0.35">
      <c r="A48" s="13" t="s">
        <v>13</v>
      </c>
      <c r="B48" s="12" t="s">
        <v>12</v>
      </c>
      <c r="C48" s="12" t="s">
        <v>11</v>
      </c>
      <c r="D48" s="12" t="s">
        <v>10</v>
      </c>
      <c r="E48" s="12" t="s">
        <v>9</v>
      </c>
      <c r="F48" s="12" t="s">
        <v>8</v>
      </c>
      <c r="G48" s="11" t="s">
        <v>7</v>
      </c>
      <c r="H48" s="2"/>
      <c r="I48" s="2"/>
    </row>
    <row r="49" spans="1:9" x14ac:dyDescent="0.3">
      <c r="A49" s="83">
        <v>45347</v>
      </c>
      <c r="B49" s="82">
        <v>45348</v>
      </c>
      <c r="C49" s="82">
        <v>45349</v>
      </c>
      <c r="D49" s="82">
        <v>45350</v>
      </c>
      <c r="E49" s="82">
        <v>45351</v>
      </c>
      <c r="F49" s="8">
        <v>45352</v>
      </c>
      <c r="G49" s="7">
        <v>45353</v>
      </c>
      <c r="H49" s="2"/>
      <c r="I49" s="2"/>
    </row>
    <row r="50" spans="1:9" x14ac:dyDescent="0.3">
      <c r="A50" s="47"/>
      <c r="B50" s="48"/>
      <c r="C50" s="48"/>
      <c r="D50" s="48"/>
      <c r="E50" s="48"/>
      <c r="F50" s="48"/>
      <c r="G50" s="47"/>
      <c r="H50" s="2"/>
      <c r="I50" s="2"/>
    </row>
    <row r="51" spans="1:9" x14ac:dyDescent="0.3">
      <c r="A51" s="47"/>
      <c r="B51" s="48"/>
      <c r="C51" s="48"/>
      <c r="D51" s="48"/>
      <c r="E51" s="48"/>
      <c r="F51" s="48"/>
      <c r="G51" s="47"/>
      <c r="H51" s="2"/>
      <c r="I51" s="2"/>
    </row>
    <row r="52" spans="1:9" ht="16.2" thickBot="1" x14ac:dyDescent="0.35">
      <c r="A52" s="91"/>
      <c r="B52" s="46"/>
      <c r="C52" s="46"/>
      <c r="D52" s="46"/>
      <c r="E52" s="46"/>
      <c r="F52" s="46"/>
      <c r="G52" s="92"/>
      <c r="H52" s="2">
        <f>SUM(A52:G52)</f>
        <v>0</v>
      </c>
      <c r="I52" s="2"/>
    </row>
    <row r="53" spans="1:9" x14ac:dyDescent="0.3">
      <c r="A53" s="7">
        <v>45354</v>
      </c>
      <c r="B53" s="8">
        <v>45355</v>
      </c>
      <c r="C53" s="8">
        <v>45356</v>
      </c>
      <c r="D53" s="8">
        <v>45357</v>
      </c>
      <c r="E53" s="8">
        <v>45358</v>
      </c>
      <c r="F53" s="8">
        <v>45359</v>
      </c>
      <c r="G53" s="7">
        <v>45360</v>
      </c>
      <c r="H53" s="2"/>
      <c r="I53" s="2"/>
    </row>
    <row r="54" spans="1:9" x14ac:dyDescent="0.3">
      <c r="A54" s="47"/>
      <c r="B54" s="48"/>
      <c r="C54" s="48"/>
      <c r="D54" s="48"/>
      <c r="E54" s="48"/>
      <c r="F54" s="48"/>
      <c r="G54" s="47"/>
      <c r="H54" s="2"/>
      <c r="I54" s="2"/>
    </row>
    <row r="55" spans="1:9" x14ac:dyDescent="0.3">
      <c r="A55" s="47"/>
      <c r="B55" s="48"/>
      <c r="C55" s="48"/>
      <c r="D55" s="48"/>
      <c r="E55" s="48"/>
      <c r="F55" s="48"/>
      <c r="G55" s="47"/>
      <c r="H55" s="2"/>
      <c r="I55" s="2"/>
    </row>
    <row r="56" spans="1:9" ht="16.2" thickBot="1" x14ac:dyDescent="0.35">
      <c r="A56" s="87"/>
      <c r="B56" s="88"/>
      <c r="C56" s="88"/>
      <c r="D56" s="88"/>
      <c r="E56" s="88"/>
      <c r="F56" s="88"/>
      <c r="G56" s="87"/>
      <c r="H56" s="2">
        <f>SUM(A56:G56)</f>
        <v>0</v>
      </c>
      <c r="I56" s="2"/>
    </row>
    <row r="57" spans="1:9" x14ac:dyDescent="0.3">
      <c r="A57" s="7">
        <v>45361</v>
      </c>
      <c r="B57" s="8">
        <v>45362</v>
      </c>
      <c r="C57" s="8">
        <v>45363</v>
      </c>
      <c r="D57" s="8">
        <v>45364</v>
      </c>
      <c r="E57" s="8">
        <v>45365</v>
      </c>
      <c r="F57" s="8">
        <v>45366</v>
      </c>
      <c r="G57" s="7">
        <v>45367</v>
      </c>
      <c r="H57" s="2"/>
      <c r="I57" s="2"/>
    </row>
    <row r="58" spans="1:9" x14ac:dyDescent="0.3">
      <c r="A58" s="47"/>
      <c r="B58" s="48"/>
      <c r="C58" s="48"/>
      <c r="D58" s="48"/>
      <c r="E58" s="48"/>
      <c r="F58" s="48"/>
      <c r="G58" s="47"/>
      <c r="H58" s="2"/>
      <c r="I58" s="2"/>
    </row>
    <row r="59" spans="1:9" x14ac:dyDescent="0.3">
      <c r="A59" s="47"/>
      <c r="B59" s="48"/>
      <c r="C59" s="48"/>
      <c r="D59" s="48"/>
      <c r="E59" s="48"/>
      <c r="F59" s="48"/>
      <c r="G59" s="47"/>
      <c r="H59" s="2"/>
      <c r="I59" s="2"/>
    </row>
    <row r="60" spans="1:9" ht="16.2" thickBot="1" x14ac:dyDescent="0.35">
      <c r="A60" s="87"/>
      <c r="B60" s="88"/>
      <c r="C60" s="88"/>
      <c r="D60" s="88"/>
      <c r="E60" s="88"/>
      <c r="F60" s="88"/>
      <c r="G60" s="87"/>
      <c r="H60" s="2">
        <f>SUM(A60:G60)</f>
        <v>0</v>
      </c>
      <c r="I60" s="2"/>
    </row>
    <row r="61" spans="1:9" x14ac:dyDescent="0.3">
      <c r="A61" s="7">
        <v>45368</v>
      </c>
      <c r="B61" s="8">
        <v>45369</v>
      </c>
      <c r="C61" s="8">
        <v>45370</v>
      </c>
      <c r="D61" s="8">
        <v>45371</v>
      </c>
      <c r="E61" s="8">
        <v>45372</v>
      </c>
      <c r="F61" s="8">
        <v>45373</v>
      </c>
      <c r="G61" s="7">
        <v>45374</v>
      </c>
      <c r="H61" s="2"/>
      <c r="I61" s="2"/>
    </row>
    <row r="62" spans="1:9" x14ac:dyDescent="0.3">
      <c r="A62" s="47"/>
      <c r="B62" s="48"/>
      <c r="C62" s="48"/>
      <c r="D62" s="48"/>
      <c r="E62" s="48"/>
      <c r="F62" s="48"/>
      <c r="G62" s="47"/>
      <c r="H62" s="2"/>
      <c r="I62" s="2"/>
    </row>
    <row r="63" spans="1:9" x14ac:dyDescent="0.3">
      <c r="A63" s="47"/>
      <c r="B63" s="48"/>
      <c r="C63" s="48"/>
      <c r="D63" s="48"/>
      <c r="E63" s="48"/>
      <c r="F63" s="48"/>
      <c r="G63" s="47"/>
      <c r="H63" s="2"/>
      <c r="I63" s="2"/>
    </row>
    <row r="64" spans="1:9" ht="16.2" thickBot="1" x14ac:dyDescent="0.35">
      <c r="A64" s="87"/>
      <c r="B64" s="88"/>
      <c r="C64" s="88"/>
      <c r="D64" s="88"/>
      <c r="E64" s="88"/>
      <c r="F64" s="88"/>
      <c r="G64" s="87"/>
      <c r="H64" s="2">
        <f>SUM(A64:G64)</f>
        <v>0</v>
      </c>
      <c r="I64" s="2"/>
    </row>
    <row r="65" spans="1:9" x14ac:dyDescent="0.3">
      <c r="A65" s="7">
        <v>45375</v>
      </c>
      <c r="B65" s="8">
        <v>45376</v>
      </c>
      <c r="C65" s="8">
        <v>45377</v>
      </c>
      <c r="D65" s="8">
        <v>45378</v>
      </c>
      <c r="E65" s="8">
        <v>45379</v>
      </c>
      <c r="F65" s="8">
        <v>45380</v>
      </c>
      <c r="G65" s="7">
        <v>45381</v>
      </c>
      <c r="H65" s="2"/>
      <c r="I65" s="2"/>
    </row>
    <row r="66" spans="1:9" x14ac:dyDescent="0.3">
      <c r="A66" s="47"/>
      <c r="B66" s="48"/>
      <c r="C66" s="48"/>
      <c r="D66" s="48"/>
      <c r="E66" s="48"/>
      <c r="F66" s="48"/>
      <c r="G66" s="47"/>
      <c r="H66" s="2"/>
      <c r="I66" s="2"/>
    </row>
    <row r="67" spans="1:9" x14ac:dyDescent="0.3">
      <c r="A67" s="47"/>
      <c r="B67" s="48"/>
      <c r="C67" s="48"/>
      <c r="D67" s="48"/>
      <c r="E67" s="48"/>
      <c r="F67" s="48"/>
      <c r="G67" s="47"/>
      <c r="H67" s="2"/>
      <c r="I67" s="2"/>
    </row>
    <row r="68" spans="1:9" ht="16.2" thickBot="1" x14ac:dyDescent="0.35">
      <c r="A68" s="87"/>
      <c r="B68" s="88"/>
      <c r="C68" s="88"/>
      <c r="D68" s="88"/>
      <c r="E68" s="88"/>
      <c r="F68" s="88"/>
      <c r="G68" s="87"/>
      <c r="H68" s="2">
        <f>SUM(A68:G68)</f>
        <v>0</v>
      </c>
      <c r="I68" s="2"/>
    </row>
    <row r="69" spans="1:9" x14ac:dyDescent="0.3">
      <c r="A69" s="7">
        <v>45382</v>
      </c>
      <c r="B69" s="82">
        <v>45383</v>
      </c>
      <c r="C69" s="82">
        <v>45384</v>
      </c>
      <c r="D69" s="82">
        <v>45385</v>
      </c>
      <c r="E69" s="82">
        <v>45386</v>
      </c>
      <c r="F69" s="82">
        <v>45387</v>
      </c>
      <c r="G69" s="83">
        <v>45388</v>
      </c>
      <c r="H69" s="2"/>
      <c r="I69" s="2"/>
    </row>
    <row r="70" spans="1:9" x14ac:dyDescent="0.3">
      <c r="A70" s="47"/>
      <c r="B70" s="48"/>
      <c r="C70" s="48"/>
      <c r="D70" s="48"/>
      <c r="E70" s="48"/>
      <c r="F70" s="48"/>
      <c r="G70" s="47"/>
      <c r="H70" s="2"/>
      <c r="I70" s="2"/>
    </row>
    <row r="71" spans="1:9" x14ac:dyDescent="0.3">
      <c r="A71" s="47"/>
      <c r="B71" s="48"/>
      <c r="C71" s="48"/>
      <c r="D71" s="48"/>
      <c r="E71" s="48"/>
      <c r="F71" s="48"/>
      <c r="G71" s="47"/>
      <c r="H71" s="2"/>
      <c r="I71" s="2"/>
    </row>
    <row r="72" spans="1:9" ht="16.2" thickBot="1" x14ac:dyDescent="0.35">
      <c r="A72" s="87"/>
      <c r="B72" s="88"/>
      <c r="C72" s="88"/>
      <c r="D72" s="88"/>
      <c r="E72" s="88"/>
      <c r="F72" s="88"/>
      <c r="G72" s="87"/>
      <c r="H72" s="2">
        <f>SUM(A72:G72)</f>
        <v>0</v>
      </c>
      <c r="I72" s="2">
        <f>SUM(H52,H56,H60,H64,H68,H72)</f>
        <v>0</v>
      </c>
    </row>
    <row r="73" spans="1:9" ht="16.2" thickBot="1" x14ac:dyDescent="0.35">
      <c r="A73" s="86"/>
      <c r="B73" s="50"/>
      <c r="C73" s="50"/>
      <c r="D73" s="50"/>
      <c r="E73" s="50"/>
      <c r="F73" s="50"/>
      <c r="G73" s="86"/>
      <c r="H73" s="2"/>
      <c r="I73" s="2"/>
    </row>
    <row r="74" spans="1:9" ht="21" thickBot="1" x14ac:dyDescent="0.35">
      <c r="A74" s="99" t="s">
        <v>22</v>
      </c>
      <c r="B74" s="100"/>
      <c r="C74" s="100"/>
      <c r="D74" s="100"/>
      <c r="E74" s="100"/>
      <c r="F74" s="100"/>
      <c r="G74" s="101"/>
      <c r="H74" s="2"/>
      <c r="I74" s="2"/>
    </row>
    <row r="75" spans="1:9" ht="18" thickBot="1" x14ac:dyDescent="0.35">
      <c r="A75" s="13" t="s">
        <v>13</v>
      </c>
      <c r="B75" s="12" t="s">
        <v>12</v>
      </c>
      <c r="C75" s="12" t="s">
        <v>11</v>
      </c>
      <c r="D75" s="12" t="s">
        <v>10</v>
      </c>
      <c r="E75" s="12" t="s">
        <v>9</v>
      </c>
      <c r="F75" s="12" t="s">
        <v>8</v>
      </c>
      <c r="G75" s="11" t="s">
        <v>7</v>
      </c>
      <c r="H75" s="2"/>
      <c r="I75" s="2"/>
    </row>
    <row r="76" spans="1:9" ht="16.2" thickBot="1" x14ac:dyDescent="0.35">
      <c r="A76" s="7">
        <v>45382</v>
      </c>
      <c r="B76" s="8">
        <v>45383</v>
      </c>
      <c r="C76" s="8">
        <v>45384</v>
      </c>
      <c r="D76" s="8">
        <v>45385</v>
      </c>
      <c r="E76" s="8">
        <v>45386</v>
      </c>
      <c r="F76" s="8">
        <v>45387</v>
      </c>
      <c r="G76" s="7">
        <v>45388</v>
      </c>
      <c r="H76" s="2"/>
      <c r="I76" s="2"/>
    </row>
    <row r="77" spans="1:9" ht="16.2" thickBot="1" x14ac:dyDescent="0.35">
      <c r="A77" s="7">
        <v>45389</v>
      </c>
      <c r="B77" s="8">
        <v>45390</v>
      </c>
      <c r="C77" s="8">
        <v>45391</v>
      </c>
      <c r="D77" s="8">
        <v>45392</v>
      </c>
      <c r="E77" s="8">
        <v>45393</v>
      </c>
      <c r="F77" s="8">
        <v>45394</v>
      </c>
      <c r="G77" s="7">
        <v>45395</v>
      </c>
      <c r="H77" s="2"/>
      <c r="I77" s="2"/>
    </row>
    <row r="78" spans="1:9" ht="16.2" thickBot="1" x14ac:dyDescent="0.35">
      <c r="A78" s="7">
        <v>45396</v>
      </c>
      <c r="B78" s="8">
        <v>45397</v>
      </c>
      <c r="C78" s="8">
        <v>45398</v>
      </c>
      <c r="D78" s="8">
        <v>45399</v>
      </c>
      <c r="E78" s="8">
        <v>45400</v>
      </c>
      <c r="F78" s="8">
        <v>45401</v>
      </c>
      <c r="G78" s="7">
        <v>45402</v>
      </c>
      <c r="H78" s="2"/>
      <c r="I78" s="2"/>
    </row>
    <row r="79" spans="1:9" ht="16.2" thickBot="1" x14ac:dyDescent="0.35">
      <c r="A79" s="7">
        <v>45403</v>
      </c>
      <c r="B79" s="8">
        <v>45404</v>
      </c>
      <c r="C79" s="8">
        <v>45405</v>
      </c>
      <c r="D79" s="8">
        <v>45406</v>
      </c>
      <c r="E79" s="8">
        <v>45407</v>
      </c>
      <c r="F79" s="8">
        <v>45408</v>
      </c>
      <c r="G79" s="7">
        <v>45409</v>
      </c>
      <c r="H79" s="2"/>
      <c r="I79" s="2"/>
    </row>
    <row r="80" spans="1:9" ht="16.2" thickBot="1" x14ac:dyDescent="0.35">
      <c r="A80" s="7">
        <v>45410</v>
      </c>
      <c r="B80" s="8">
        <v>45411</v>
      </c>
      <c r="C80" s="8">
        <v>45412</v>
      </c>
      <c r="D80" s="8"/>
      <c r="E80" s="8"/>
      <c r="F80" s="8"/>
      <c r="G80" s="7"/>
      <c r="H80" s="2"/>
      <c r="I80" s="2"/>
    </row>
    <row r="81" spans="1:9" ht="16.2" thickBot="1" x14ac:dyDescent="0.35">
      <c r="A81" s="7"/>
      <c r="B81" s="8"/>
      <c r="C81" s="8"/>
      <c r="D81" s="8">
        <v>45413</v>
      </c>
      <c r="E81" s="8">
        <v>45414</v>
      </c>
      <c r="F81" s="8">
        <v>45415</v>
      </c>
      <c r="G81" s="7">
        <v>45416</v>
      </c>
      <c r="H81" s="2"/>
      <c r="I81" s="2"/>
    </row>
    <row r="82" spans="1:9" ht="16.2" thickBot="1" x14ac:dyDescent="0.35">
      <c r="A82" s="7">
        <v>45417</v>
      </c>
      <c r="B82" s="8">
        <v>45418</v>
      </c>
      <c r="C82" s="8">
        <v>45419</v>
      </c>
      <c r="D82" s="8">
        <v>45420</v>
      </c>
      <c r="E82" s="8">
        <v>45421</v>
      </c>
      <c r="F82" s="8">
        <v>45422</v>
      </c>
      <c r="G82" s="7">
        <v>45423</v>
      </c>
      <c r="H82" s="2"/>
      <c r="I82" s="2"/>
    </row>
    <row r="83" spans="1:9" ht="16.2" thickBot="1" x14ac:dyDescent="0.35">
      <c r="A83" s="7">
        <v>45424</v>
      </c>
      <c r="B83" s="8">
        <v>45425</v>
      </c>
      <c r="C83" s="8">
        <v>45426</v>
      </c>
      <c r="D83" s="8">
        <v>45427</v>
      </c>
      <c r="E83" s="8">
        <v>45428</v>
      </c>
      <c r="F83" s="8">
        <v>45429</v>
      </c>
      <c r="G83" s="7">
        <v>45430</v>
      </c>
      <c r="H83" s="2"/>
      <c r="I83" s="2"/>
    </row>
    <row r="84" spans="1:9" ht="16.2" thickBot="1" x14ac:dyDescent="0.35">
      <c r="A84" s="7">
        <v>45431</v>
      </c>
      <c r="B84" s="8">
        <v>45432</v>
      </c>
      <c r="C84" s="8">
        <v>45433</v>
      </c>
      <c r="D84" s="8">
        <v>45434</v>
      </c>
      <c r="E84" s="8">
        <v>45435</v>
      </c>
      <c r="F84" s="8">
        <v>45436</v>
      </c>
      <c r="G84" s="7">
        <v>45437</v>
      </c>
      <c r="H84" s="2"/>
      <c r="I84" s="2"/>
    </row>
    <row r="85" spans="1:9" ht="16.2" thickBot="1" x14ac:dyDescent="0.35">
      <c r="A85" s="7">
        <v>45438</v>
      </c>
      <c r="B85" s="8">
        <v>45439</v>
      </c>
      <c r="C85" s="8">
        <v>45440</v>
      </c>
      <c r="D85" s="8">
        <v>45441</v>
      </c>
      <c r="E85" s="8">
        <v>45442</v>
      </c>
      <c r="F85" s="8">
        <v>45443</v>
      </c>
      <c r="G85" s="7"/>
      <c r="H85" s="2"/>
      <c r="I85" s="2"/>
    </row>
    <row r="86" spans="1:9" ht="16.2" thickBot="1" x14ac:dyDescent="0.35">
      <c r="A86" s="7"/>
      <c r="B86" s="8"/>
      <c r="C86" s="8"/>
      <c r="D86" s="8"/>
      <c r="E86" s="8"/>
      <c r="F86" s="8"/>
      <c r="G86" s="7">
        <v>45444</v>
      </c>
      <c r="H86" s="2"/>
      <c r="I86" s="2"/>
    </row>
    <row r="87" spans="1:9" ht="16.2" thickBot="1" x14ac:dyDescent="0.35">
      <c r="A87" s="7">
        <v>45445</v>
      </c>
      <c r="B87" s="8">
        <v>45446</v>
      </c>
      <c r="C87" s="8">
        <v>45447</v>
      </c>
      <c r="D87" s="8">
        <v>45448</v>
      </c>
      <c r="E87" s="8">
        <v>45449</v>
      </c>
      <c r="F87" s="8">
        <v>45450</v>
      </c>
      <c r="G87" s="7">
        <v>45451</v>
      </c>
      <c r="H87" s="2"/>
      <c r="I87" s="2"/>
    </row>
    <row r="88" spans="1:9" ht="16.2" thickBot="1" x14ac:dyDescent="0.35">
      <c r="A88" s="7">
        <v>45452</v>
      </c>
      <c r="B88" s="8">
        <v>45453</v>
      </c>
      <c r="C88" s="8">
        <v>45454</v>
      </c>
      <c r="D88" s="8">
        <v>45455</v>
      </c>
      <c r="E88" s="8">
        <v>45456</v>
      </c>
      <c r="F88" s="8">
        <v>45457</v>
      </c>
      <c r="G88" s="7">
        <v>45458</v>
      </c>
      <c r="H88" s="2"/>
      <c r="I88" s="2"/>
    </row>
    <row r="89" spans="1:9" ht="16.2" thickBot="1" x14ac:dyDescent="0.35">
      <c r="A89" s="7">
        <v>45459</v>
      </c>
      <c r="B89" s="8">
        <v>45460</v>
      </c>
      <c r="C89" s="8">
        <v>45461</v>
      </c>
      <c r="D89" s="8">
        <v>45462</v>
      </c>
      <c r="E89" s="8">
        <v>45463</v>
      </c>
      <c r="F89" s="8">
        <v>45464</v>
      </c>
      <c r="G89" s="7">
        <v>45465</v>
      </c>
      <c r="H89" s="2"/>
      <c r="I89" s="2"/>
    </row>
    <row r="90" spans="1:9" ht="16.2" thickBot="1" x14ac:dyDescent="0.35">
      <c r="A90" s="7">
        <v>45466</v>
      </c>
      <c r="B90" s="8">
        <v>45467</v>
      </c>
      <c r="C90" s="8">
        <v>45468</v>
      </c>
      <c r="D90" s="8">
        <v>45469</v>
      </c>
      <c r="E90" s="8">
        <v>45470</v>
      </c>
      <c r="F90" s="8">
        <v>45471</v>
      </c>
      <c r="G90" s="7">
        <v>45472</v>
      </c>
      <c r="H90" s="2"/>
      <c r="I90" s="2"/>
    </row>
    <row r="91" spans="1:9" ht="16.2" thickBot="1" x14ac:dyDescent="0.35">
      <c r="A91" s="7">
        <v>45473</v>
      </c>
      <c r="B91" s="8"/>
      <c r="C91" s="8"/>
      <c r="D91" s="8"/>
      <c r="E91" s="8"/>
      <c r="F91" s="8"/>
      <c r="G91" s="7"/>
    </row>
    <row r="92" spans="1:9" ht="16.2" thickBot="1" x14ac:dyDescent="0.35">
      <c r="A92" s="7"/>
      <c r="B92" s="8">
        <v>45474</v>
      </c>
      <c r="C92" s="8">
        <v>45475</v>
      </c>
      <c r="D92" s="8">
        <v>45476</v>
      </c>
      <c r="E92" s="8">
        <v>45477</v>
      </c>
      <c r="F92" s="8">
        <v>45478</v>
      </c>
      <c r="G92" s="7">
        <v>45479</v>
      </c>
      <c r="H92" s="2"/>
      <c r="I92" s="2"/>
    </row>
    <row r="93" spans="1:9" ht="16.2" thickBot="1" x14ac:dyDescent="0.35">
      <c r="A93" s="7">
        <v>45480</v>
      </c>
      <c r="B93" s="8">
        <v>45481</v>
      </c>
      <c r="C93" s="8">
        <v>45482</v>
      </c>
      <c r="D93" s="8">
        <v>45483</v>
      </c>
      <c r="E93" s="8">
        <v>45484</v>
      </c>
      <c r="F93" s="8">
        <v>45485</v>
      </c>
      <c r="G93" s="7">
        <v>45486</v>
      </c>
      <c r="H93" s="2"/>
      <c r="I93" s="2"/>
    </row>
    <row r="94" spans="1:9" ht="16.2" thickBot="1" x14ac:dyDescent="0.35">
      <c r="A94" s="7">
        <v>45487</v>
      </c>
      <c r="B94" s="8">
        <v>45488</v>
      </c>
      <c r="C94" s="8">
        <v>45489</v>
      </c>
      <c r="D94" s="8">
        <v>45490</v>
      </c>
      <c r="E94" s="8">
        <v>45491</v>
      </c>
      <c r="F94" s="8">
        <v>45492</v>
      </c>
      <c r="G94" s="7">
        <v>45493</v>
      </c>
      <c r="H94" s="2"/>
      <c r="I94" s="2"/>
    </row>
    <row r="95" spans="1:9" ht="16.2" thickBot="1" x14ac:dyDescent="0.35">
      <c r="A95" s="7">
        <v>45494</v>
      </c>
      <c r="B95" s="8">
        <v>45495</v>
      </c>
      <c r="C95" s="8">
        <v>45496</v>
      </c>
      <c r="D95" s="8">
        <v>45497</v>
      </c>
      <c r="E95" s="8">
        <v>45498</v>
      </c>
      <c r="F95" s="8">
        <v>45499</v>
      </c>
      <c r="G95" s="7">
        <v>45500</v>
      </c>
      <c r="H95" s="2"/>
      <c r="I95" s="2"/>
    </row>
    <row r="96" spans="1:9" ht="16.2" thickBot="1" x14ac:dyDescent="0.35">
      <c r="A96" s="7">
        <v>45501</v>
      </c>
      <c r="B96" s="8">
        <v>45502</v>
      </c>
      <c r="C96" s="8">
        <v>45503</v>
      </c>
      <c r="D96" s="8">
        <v>45504</v>
      </c>
      <c r="E96" s="8"/>
      <c r="F96" s="8"/>
      <c r="G96" s="7"/>
      <c r="H96" s="2"/>
      <c r="I96" s="2"/>
    </row>
    <row r="97" spans="1:9" ht="16.2" thickBot="1" x14ac:dyDescent="0.35">
      <c r="A97" s="7"/>
      <c r="B97" s="8"/>
      <c r="C97" s="8"/>
      <c r="D97" s="8"/>
      <c r="E97" s="8">
        <v>45505</v>
      </c>
      <c r="F97" s="8">
        <v>45506</v>
      </c>
      <c r="G97" s="7">
        <v>45507</v>
      </c>
      <c r="H97" s="2"/>
      <c r="I97" s="2"/>
    </row>
    <row r="98" spans="1:9" ht="16.2" thickBot="1" x14ac:dyDescent="0.35">
      <c r="A98" s="7">
        <v>45508</v>
      </c>
      <c r="B98" s="8">
        <v>45509</v>
      </c>
      <c r="C98" s="8">
        <v>45510</v>
      </c>
      <c r="D98" s="8">
        <v>45511</v>
      </c>
      <c r="E98" s="8">
        <v>45512</v>
      </c>
      <c r="F98" s="8">
        <v>45513</v>
      </c>
      <c r="G98" s="7">
        <v>45514</v>
      </c>
      <c r="H98" s="2"/>
      <c r="I98" s="2"/>
    </row>
    <row r="99" spans="1:9" ht="16.2" thickBot="1" x14ac:dyDescent="0.35">
      <c r="A99" s="7">
        <v>45515</v>
      </c>
      <c r="B99" s="8">
        <v>45516</v>
      </c>
      <c r="C99" s="8">
        <v>45517</v>
      </c>
      <c r="D99" s="8">
        <v>45518</v>
      </c>
      <c r="E99" s="8">
        <v>45519</v>
      </c>
      <c r="F99" s="8">
        <v>45520</v>
      </c>
      <c r="G99" s="7">
        <v>45521</v>
      </c>
      <c r="H99" s="2"/>
      <c r="I99" s="2"/>
    </row>
    <row r="100" spans="1:9" ht="16.2" thickBot="1" x14ac:dyDescent="0.35">
      <c r="A100" s="7">
        <v>45522</v>
      </c>
      <c r="B100" s="8">
        <v>45523</v>
      </c>
      <c r="C100" s="8">
        <v>45524</v>
      </c>
      <c r="D100" s="8">
        <v>45525</v>
      </c>
      <c r="E100" s="8">
        <v>45526</v>
      </c>
      <c r="F100" s="8">
        <v>45527</v>
      </c>
      <c r="G100" s="7">
        <v>45528</v>
      </c>
      <c r="H100" s="2"/>
      <c r="I100" s="2"/>
    </row>
    <row r="101" spans="1:9" ht="16.2" thickBot="1" x14ac:dyDescent="0.35">
      <c r="A101" s="7">
        <v>45529</v>
      </c>
      <c r="B101" s="8">
        <v>45530</v>
      </c>
      <c r="C101" s="8">
        <v>45531</v>
      </c>
      <c r="D101" s="8">
        <v>45532</v>
      </c>
      <c r="E101" s="8">
        <v>45533</v>
      </c>
      <c r="F101" s="8">
        <v>45534</v>
      </c>
      <c r="G101" s="7">
        <v>45535</v>
      </c>
      <c r="H101" s="2"/>
      <c r="I101" s="2"/>
    </row>
    <row r="102" spans="1:9" ht="16.2" thickBot="1" x14ac:dyDescent="0.35">
      <c r="A102" s="7">
        <v>45536</v>
      </c>
      <c r="B102" s="8">
        <v>45537</v>
      </c>
      <c r="C102" s="8">
        <v>45538</v>
      </c>
      <c r="D102" s="8">
        <v>45539</v>
      </c>
      <c r="E102" s="8">
        <v>45540</v>
      </c>
      <c r="F102" s="8">
        <v>45541</v>
      </c>
      <c r="G102" s="7">
        <v>45542</v>
      </c>
      <c r="H102" s="2"/>
      <c r="I102" s="2"/>
    </row>
    <row r="103" spans="1:9" ht="16.2" thickBot="1" x14ac:dyDescent="0.35">
      <c r="A103" s="7">
        <v>45543</v>
      </c>
      <c r="B103" s="8">
        <v>45544</v>
      </c>
      <c r="C103" s="8">
        <v>45545</v>
      </c>
      <c r="D103" s="8">
        <v>45546</v>
      </c>
      <c r="E103" s="8">
        <v>45547</v>
      </c>
      <c r="F103" s="8">
        <v>45548</v>
      </c>
      <c r="G103" s="7">
        <v>45549</v>
      </c>
      <c r="H103" s="2"/>
      <c r="I103" s="2"/>
    </row>
    <row r="104" spans="1:9" ht="16.2" thickBot="1" x14ac:dyDescent="0.35">
      <c r="A104" s="7">
        <v>45550</v>
      </c>
      <c r="B104" s="8">
        <v>45551</v>
      </c>
      <c r="C104" s="8">
        <v>45552</v>
      </c>
      <c r="D104" s="8">
        <v>45553</v>
      </c>
      <c r="E104" s="8">
        <v>45554</v>
      </c>
      <c r="F104" s="8">
        <v>45555</v>
      </c>
      <c r="G104" s="7">
        <v>45556</v>
      </c>
      <c r="H104" s="2"/>
      <c r="I104" s="2"/>
    </row>
    <row r="105" spans="1:9" ht="16.2" thickBot="1" x14ac:dyDescent="0.35">
      <c r="A105" s="7">
        <v>45557</v>
      </c>
      <c r="B105" s="8">
        <v>45558</v>
      </c>
      <c r="C105" s="8">
        <v>45559</v>
      </c>
      <c r="D105" s="8">
        <v>45560</v>
      </c>
      <c r="E105" s="8">
        <v>45561</v>
      </c>
      <c r="F105" s="8">
        <v>45562</v>
      </c>
      <c r="G105" s="7">
        <v>45563</v>
      </c>
      <c r="H105" s="2"/>
      <c r="I105" s="2"/>
    </row>
    <row r="106" spans="1:9" ht="19.8" customHeight="1" thickBot="1" x14ac:dyDescent="0.35">
      <c r="A106" s="7">
        <v>45564</v>
      </c>
      <c r="B106" s="8">
        <v>45565</v>
      </c>
      <c r="C106" s="8"/>
      <c r="D106" s="8"/>
      <c r="E106" s="8"/>
      <c r="F106" s="8"/>
      <c r="G106" s="7"/>
      <c r="H106" s="2"/>
      <c r="I106" s="2"/>
    </row>
    <row r="107" spans="1:9" ht="16.2" thickBot="1" x14ac:dyDescent="0.35">
      <c r="A107" s="7"/>
      <c r="B107" s="8"/>
      <c r="C107" s="8">
        <v>45566</v>
      </c>
      <c r="D107" s="8">
        <v>45567</v>
      </c>
      <c r="E107" s="8">
        <v>45568</v>
      </c>
      <c r="F107" s="8">
        <v>45569</v>
      </c>
      <c r="G107" s="7">
        <v>45570</v>
      </c>
      <c r="H107" s="2"/>
      <c r="I107" s="2"/>
    </row>
    <row r="108" spans="1:9" ht="16.2" thickBot="1" x14ac:dyDescent="0.35">
      <c r="A108" s="7">
        <v>45571</v>
      </c>
      <c r="B108" s="8">
        <v>45572</v>
      </c>
      <c r="C108" s="8">
        <v>45573</v>
      </c>
      <c r="D108" s="8">
        <v>45574</v>
      </c>
      <c r="E108" s="8">
        <v>45575</v>
      </c>
      <c r="F108" s="8">
        <v>45576</v>
      </c>
      <c r="G108" s="7">
        <v>45577</v>
      </c>
      <c r="H108" s="2"/>
      <c r="I108" s="2"/>
    </row>
    <row r="109" spans="1:9" ht="16.2" thickBot="1" x14ac:dyDescent="0.35">
      <c r="A109" s="7">
        <v>45578</v>
      </c>
      <c r="B109" s="8">
        <v>45579</v>
      </c>
      <c r="C109" s="8">
        <v>45580</v>
      </c>
      <c r="D109" s="8">
        <v>45581</v>
      </c>
      <c r="E109" s="8">
        <v>45582</v>
      </c>
      <c r="F109" s="8">
        <v>45583</v>
      </c>
      <c r="G109" s="7">
        <v>45584</v>
      </c>
      <c r="H109" s="2"/>
      <c r="I109" s="2"/>
    </row>
    <row r="110" spans="1:9" ht="16.2" thickBot="1" x14ac:dyDescent="0.35">
      <c r="A110" s="7">
        <v>45585</v>
      </c>
      <c r="B110" s="8">
        <v>45586</v>
      </c>
      <c r="C110" s="8">
        <v>45587</v>
      </c>
      <c r="D110" s="8">
        <v>45588</v>
      </c>
      <c r="E110" s="8">
        <v>45589</v>
      </c>
      <c r="F110" s="8">
        <v>45590</v>
      </c>
      <c r="G110" s="7">
        <v>45591</v>
      </c>
      <c r="H110" s="2"/>
      <c r="I110" s="2"/>
    </row>
    <row r="111" spans="1:9" ht="16.2" thickBot="1" x14ac:dyDescent="0.35">
      <c r="A111" s="7">
        <v>45592</v>
      </c>
      <c r="B111" s="8">
        <v>45593</v>
      </c>
      <c r="C111" s="8">
        <v>45594</v>
      </c>
      <c r="D111" s="8">
        <v>45595</v>
      </c>
      <c r="E111" s="8">
        <v>45596</v>
      </c>
      <c r="F111" s="8"/>
      <c r="G111" s="7"/>
      <c r="H111" s="2"/>
      <c r="I111" s="2"/>
    </row>
    <row r="112" spans="1:9" ht="16.2" thickBot="1" x14ac:dyDescent="0.35">
      <c r="A112" s="7"/>
      <c r="B112" s="8"/>
      <c r="C112" s="8"/>
      <c r="D112" s="8"/>
      <c r="E112" s="8"/>
      <c r="F112" s="8">
        <v>45597</v>
      </c>
      <c r="G112" s="7">
        <v>45598</v>
      </c>
      <c r="H112" s="2"/>
      <c r="I112" s="2"/>
    </row>
    <row r="113" spans="1:9" ht="16.2" thickBot="1" x14ac:dyDescent="0.35">
      <c r="A113" s="7">
        <v>45599</v>
      </c>
      <c r="B113" s="8">
        <v>45600</v>
      </c>
      <c r="C113" s="8">
        <v>45601</v>
      </c>
      <c r="D113" s="8">
        <v>45602</v>
      </c>
      <c r="E113" s="8">
        <v>45603</v>
      </c>
      <c r="F113" s="8">
        <v>45604</v>
      </c>
      <c r="G113" s="7">
        <v>45605</v>
      </c>
      <c r="H113" s="2"/>
      <c r="I113" s="2"/>
    </row>
    <row r="114" spans="1:9" ht="16.2" thickBot="1" x14ac:dyDescent="0.35">
      <c r="A114" s="7">
        <v>45606</v>
      </c>
      <c r="B114" s="8">
        <v>45607</v>
      </c>
      <c r="C114" s="8">
        <v>45608</v>
      </c>
      <c r="D114" s="8">
        <v>45609</v>
      </c>
      <c r="E114" s="8">
        <v>45610</v>
      </c>
      <c r="F114" s="8">
        <v>45611</v>
      </c>
      <c r="G114" s="7">
        <v>45612</v>
      </c>
      <c r="H114" s="2"/>
      <c r="I114" s="2"/>
    </row>
    <row r="115" spans="1:9" ht="16.2" thickBot="1" x14ac:dyDescent="0.35">
      <c r="A115" s="7">
        <v>45613</v>
      </c>
      <c r="B115" s="8">
        <v>45614</v>
      </c>
      <c r="C115" s="8">
        <v>45615</v>
      </c>
      <c r="D115" s="8">
        <v>45616</v>
      </c>
      <c r="E115" s="8">
        <v>45617</v>
      </c>
      <c r="F115" s="8">
        <v>45618</v>
      </c>
      <c r="G115" s="7">
        <v>45619</v>
      </c>
      <c r="H115" s="2"/>
      <c r="I115" s="2"/>
    </row>
    <row r="116" spans="1:9" ht="16.2" thickBot="1" x14ac:dyDescent="0.35">
      <c r="A116" s="7">
        <v>45620</v>
      </c>
      <c r="B116" s="8">
        <v>45621</v>
      </c>
      <c r="C116" s="8">
        <v>45622</v>
      </c>
      <c r="D116" s="8">
        <v>45623</v>
      </c>
      <c r="E116" s="8">
        <v>45624</v>
      </c>
      <c r="F116" s="8">
        <v>45625</v>
      </c>
      <c r="G116" s="7">
        <v>45626</v>
      </c>
      <c r="H116" s="2"/>
      <c r="I116" s="2"/>
    </row>
    <row r="117" spans="1:9" ht="16.2" thickBot="1" x14ac:dyDescent="0.35">
      <c r="A117" s="7">
        <v>45627</v>
      </c>
      <c r="B117" s="8">
        <v>45628</v>
      </c>
      <c r="C117" s="8">
        <v>45629</v>
      </c>
      <c r="D117" s="8">
        <v>45630</v>
      </c>
      <c r="E117" s="8">
        <v>45631</v>
      </c>
      <c r="F117" s="8">
        <v>45632</v>
      </c>
      <c r="G117" s="7">
        <v>45633</v>
      </c>
      <c r="H117" s="2"/>
      <c r="I117" s="2"/>
    </row>
    <row r="118" spans="1:9" ht="16.2" thickBot="1" x14ac:dyDescent="0.35">
      <c r="A118" s="7">
        <v>45634</v>
      </c>
      <c r="B118" s="8">
        <v>45635</v>
      </c>
      <c r="C118" s="8">
        <v>45636</v>
      </c>
      <c r="D118" s="8">
        <v>45637</v>
      </c>
      <c r="E118" s="8">
        <v>45638</v>
      </c>
      <c r="F118" s="8">
        <v>45639</v>
      </c>
      <c r="G118" s="7">
        <v>45640</v>
      </c>
      <c r="H118" s="2"/>
      <c r="I118" s="2"/>
    </row>
    <row r="119" spans="1:9" ht="16.2" thickBot="1" x14ac:dyDescent="0.35">
      <c r="A119" s="7">
        <v>45641</v>
      </c>
      <c r="B119" s="8">
        <v>45642</v>
      </c>
      <c r="C119" s="8">
        <v>45643</v>
      </c>
      <c r="D119" s="8">
        <v>45644</v>
      </c>
      <c r="E119" s="8">
        <v>45645</v>
      </c>
      <c r="F119" s="8">
        <v>45646</v>
      </c>
      <c r="G119" s="7">
        <v>45647</v>
      </c>
      <c r="H119" s="2"/>
      <c r="I119" s="2"/>
    </row>
    <row r="120" spans="1:9" ht="16.2" thickBot="1" x14ac:dyDescent="0.35">
      <c r="A120" s="7">
        <v>45648</v>
      </c>
      <c r="B120" s="8">
        <v>45649</v>
      </c>
      <c r="C120" s="8">
        <v>45650</v>
      </c>
      <c r="D120" s="8">
        <v>45651</v>
      </c>
      <c r="E120" s="8">
        <v>45652</v>
      </c>
      <c r="F120" s="8">
        <v>45653</v>
      </c>
      <c r="G120" s="7">
        <v>45654</v>
      </c>
      <c r="H120" s="2"/>
      <c r="I120" s="2"/>
    </row>
    <row r="121" spans="1:9" ht="16.2" thickBot="1" x14ac:dyDescent="0.35">
      <c r="A121" s="42">
        <v>45655</v>
      </c>
      <c r="B121" s="43">
        <v>45656</v>
      </c>
      <c r="C121" s="43">
        <v>45657</v>
      </c>
      <c r="D121" s="43"/>
      <c r="E121" s="43"/>
      <c r="F121" s="43"/>
      <c r="G121" s="42"/>
      <c r="H121" s="2"/>
      <c r="I121" s="2"/>
    </row>
  </sheetData>
  <mergeCells count="4">
    <mergeCell ref="A74:G74"/>
    <mergeCell ref="A1:G1"/>
    <mergeCell ref="A24:G24"/>
    <mergeCell ref="A47:G47"/>
  </mergeCells>
  <conditionalFormatting sqref="A25:G25">
    <cfRule type="expression" dxfId="2" priority="3">
      <formula>$A$3=TODAY()</formula>
    </cfRule>
  </conditionalFormatting>
  <conditionalFormatting sqref="A48:G48">
    <cfRule type="expression" dxfId="1" priority="2">
      <formula>$A$3=TODAY()</formula>
    </cfRule>
  </conditionalFormatting>
  <conditionalFormatting sqref="A75:G75">
    <cfRule type="expression" dxfId="0" priority="1">
      <formula>$A$3=TODAY()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79410-8CF9-4C00-990C-E3CF2CBDC983}">
  <sheetPr codeName="Hoja6"/>
  <dimension ref="A1:C5"/>
  <sheetViews>
    <sheetView workbookViewId="0">
      <selection activeCell="F7" sqref="F7"/>
    </sheetView>
  </sheetViews>
  <sheetFormatPr baseColWidth="10" defaultRowHeight="15.6" x14ac:dyDescent="0.3"/>
  <cols>
    <col min="1" max="1" width="14.796875" customWidth="1"/>
    <col min="3" max="3" width="16.19921875" bestFit="1" customWidth="1"/>
  </cols>
  <sheetData>
    <row r="1" spans="1:3" ht="35.4" thickBot="1" x14ac:dyDescent="0.35">
      <c r="A1" s="61" t="s">
        <v>63</v>
      </c>
      <c r="C1" s="61" t="s">
        <v>64</v>
      </c>
    </row>
    <row r="2" spans="1:3" x14ac:dyDescent="0.3">
      <c r="A2" s="59">
        <v>1</v>
      </c>
      <c r="C2" s="55" t="s">
        <v>47</v>
      </c>
    </row>
    <row r="3" spans="1:3" ht="16.2" thickBot="1" x14ac:dyDescent="0.35">
      <c r="A3" s="52">
        <v>2</v>
      </c>
      <c r="C3" s="54" t="s">
        <v>66</v>
      </c>
    </row>
    <row r="4" spans="1:3" x14ac:dyDescent="0.3">
      <c r="A4" s="59">
        <v>3</v>
      </c>
    </row>
    <row r="5" spans="1:3" ht="16.2" thickBot="1" x14ac:dyDescent="0.35">
      <c r="A5" s="60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Reservas</vt:lpstr>
      <vt:lpstr>2022</vt:lpstr>
      <vt:lpstr>2023</vt:lpstr>
      <vt:lpstr>2024</vt:lpstr>
      <vt:lpstr>Auxiliares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Rubén pereyra</dc:creator>
  <cp:lastModifiedBy>Eduardo Rubén Pereyra</cp:lastModifiedBy>
  <dcterms:created xsi:type="dcterms:W3CDTF">2022-12-19T00:12:45Z</dcterms:created>
  <dcterms:modified xsi:type="dcterms:W3CDTF">2023-05-02T02:53:03Z</dcterms:modified>
</cp:coreProperties>
</file>